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E4A1D5-2F9E-4C16-B83E-1D0E5B8BACC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Pivot Tables" sheetId="3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1" l="1"/>
  <c r="M53" i="1"/>
  <c r="P53" i="1"/>
  <c r="P52" i="1"/>
  <c r="M52" i="1"/>
  <c r="J53" i="1"/>
  <c r="K53" i="1"/>
  <c r="H53" i="1"/>
  <c r="I52" i="1"/>
  <c r="J52" i="1"/>
  <c r="K52" i="1"/>
  <c r="H52" i="1"/>
</calcChain>
</file>

<file path=xl/sharedStrings.xml><?xml version="1.0" encoding="utf-8"?>
<sst xmlns="http://schemas.openxmlformats.org/spreadsheetml/2006/main" count="583" uniqueCount="180">
  <si>
    <t>Staff_ID</t>
  </si>
  <si>
    <t>Outreach_Date</t>
  </si>
  <si>
    <t>State</t>
  </si>
  <si>
    <t>LGA</t>
  </si>
  <si>
    <t>Community</t>
  </si>
  <si>
    <t>Role</t>
  </si>
  <si>
    <t>Days_Deployed</t>
  </si>
  <si>
    <t>Staffing_Adequacy_1_to_5</t>
  </si>
  <si>
    <t>Supplies_Adequacy_1_to_5</t>
  </si>
  <si>
    <t>Community_Mobilization_1_to_5</t>
  </si>
  <si>
    <t>Data_Collection_Difficulty_1_to_5</t>
  </si>
  <si>
    <t>Main_Operational_Challenge</t>
  </si>
  <si>
    <t>Average_Daily_Beneficiaries</t>
  </si>
  <si>
    <t>Would_Change_Something_Next_Time</t>
  </si>
  <si>
    <t>Priority_Improvement</t>
  </si>
  <si>
    <t>Confidence_in_Data_Completeness_1_to_5</t>
  </si>
  <si>
    <t>Comments</t>
  </si>
  <si>
    <t>STF-001</t>
  </si>
  <si>
    <t>Oyo</t>
  </si>
  <si>
    <t>Ogbomosho North</t>
  </si>
  <si>
    <t>Vaccinator</t>
  </si>
  <si>
    <t>Documentation workload</t>
  </si>
  <si>
    <t>Yes</t>
  </si>
  <si>
    <t>More supplies</t>
  </si>
  <si>
    <t>documentation took extra time</t>
  </si>
  <si>
    <t>STF-002</t>
  </si>
  <si>
    <t>Lagos</t>
  </si>
  <si>
    <t>Ikorodu</t>
  </si>
  <si>
    <t>Igbogbo</t>
  </si>
  <si>
    <t>CHW</t>
  </si>
  <si>
    <t>Language/communication</t>
  </si>
  <si>
    <t>No</t>
  </si>
  <si>
    <t>Better local-language communication</t>
  </si>
  <si>
    <t>language barrier with a few caregivers</t>
  </si>
  <si>
    <t>STF-003</t>
  </si>
  <si>
    <t>Kaduna</t>
  </si>
  <si>
    <t>Kaduna South</t>
  </si>
  <si>
    <t>Barnawa</t>
  </si>
  <si>
    <t>Data/Records Officer</t>
  </si>
  <si>
    <t>low turnout</t>
  </si>
  <si>
    <t>few mothers came in the morning</t>
  </si>
  <si>
    <t>STF-004</t>
  </si>
  <si>
    <t>Isale General</t>
  </si>
  <si>
    <t>Long waiting time</t>
  </si>
  <si>
    <t>More outreach days</t>
  </si>
  <si>
    <t>registration smooth, no problems</t>
  </si>
  <si>
    <t>STF-005</t>
  </si>
  <si>
    <t>Low turnout</t>
  </si>
  <si>
    <t>Earlier community mobilization</t>
  </si>
  <si>
    <t>turnout was better than expected</t>
  </si>
  <si>
    <t>STF-006</t>
  </si>
  <si>
    <t>Community Mobilizer</t>
  </si>
  <si>
    <t>Better transport planning</t>
  </si>
  <si>
    <t>long wait at vaccination table</t>
  </si>
  <si>
    <t>STF-007</t>
  </si>
  <si>
    <t>hard explaining to some visitors in their language</t>
  </si>
  <si>
    <t>STF-008</t>
  </si>
  <si>
    <t xml:space="preserve">Vaccinator </t>
  </si>
  <si>
    <t>tally sheets slowed us down</t>
  </si>
  <si>
    <t>STF-009</t>
  </si>
  <si>
    <t>Nurse/Midwife</t>
  </si>
  <si>
    <t>Transport/logistics</t>
  </si>
  <si>
    <t>had to trek last stretch</t>
  </si>
  <si>
    <t>STF-010</t>
  </si>
  <si>
    <t>Kano</t>
  </si>
  <si>
    <t>Ungogo</t>
  </si>
  <si>
    <t>Rijiyar Zaki</t>
  </si>
  <si>
    <t>No Major Challenge</t>
  </si>
  <si>
    <t>fine overall</t>
  </si>
  <si>
    <t>STF-011</t>
  </si>
  <si>
    <t>Kaduna North</t>
  </si>
  <si>
    <t>Doka</t>
  </si>
  <si>
    <t>STF-012</t>
  </si>
  <si>
    <t>Insufficient staff</t>
  </si>
  <si>
    <t>short-handed at the table</t>
  </si>
  <si>
    <t>STF-013</t>
  </si>
  <si>
    <t>Simpler registration</t>
  </si>
  <si>
    <t>registration took longer than expected</t>
  </si>
  <si>
    <t>STF-014</t>
  </si>
  <si>
    <t>waiting time increased during the afternoon</t>
  </si>
  <si>
    <t>STF-015</t>
  </si>
  <si>
    <t>STF-016</t>
  </si>
  <si>
    <t>Program Officer</t>
  </si>
  <si>
    <t>No major challenge</t>
  </si>
  <si>
    <t>registration was manageable despite high turnout</t>
  </si>
  <si>
    <t>STF-017</t>
  </si>
  <si>
    <t>More staff</t>
  </si>
  <si>
    <t>people waited a lot, community leaders helped with mobilization</t>
  </si>
  <si>
    <t>STF-018</t>
  </si>
  <si>
    <t xml:space="preserve">More Staff </t>
  </si>
  <si>
    <t>2 of us doing the work of 4</t>
  </si>
  <si>
    <t>STF-019</t>
  </si>
  <si>
    <t>STF-020</t>
  </si>
  <si>
    <t>Katsina</t>
  </si>
  <si>
    <t>Funtua</t>
  </si>
  <si>
    <t>Unguwar Dahiru</t>
  </si>
  <si>
    <t>STF-021</t>
  </si>
  <si>
    <t>STF-022</t>
  </si>
  <si>
    <t>long wait at vaccination table, heat was a problem</t>
  </si>
  <si>
    <t>STF-023</t>
  </si>
  <si>
    <t>STF-024</t>
  </si>
  <si>
    <t>Oyo East</t>
  </si>
  <si>
    <t>Apaara</t>
  </si>
  <si>
    <t>STF-025</t>
  </si>
  <si>
    <t>Batagarawa</t>
  </si>
  <si>
    <t>Ajiwa</t>
  </si>
  <si>
    <t>STF-026</t>
  </si>
  <si>
    <t>STF-027</t>
  </si>
  <si>
    <t>logistics a bit rough today</t>
  </si>
  <si>
    <t>STF-028</t>
  </si>
  <si>
    <t>Dala</t>
  </si>
  <si>
    <t>Yalwa</t>
  </si>
  <si>
    <t>documentation took extra time, ran low on cards</t>
  </si>
  <si>
    <t>STF-029</t>
  </si>
  <si>
    <t>STF-030</t>
  </si>
  <si>
    <t>Daura</t>
  </si>
  <si>
    <t>Kusugu</t>
  </si>
  <si>
    <t>STF-031</t>
  </si>
  <si>
    <t>Zaria</t>
  </si>
  <si>
    <t>Gyellesu</t>
  </si>
  <si>
    <t>STF-032</t>
  </si>
  <si>
    <t>some beneficiaries needed language support</t>
  </si>
  <si>
    <t>STF-033</t>
  </si>
  <si>
    <t>STF-034</t>
  </si>
  <si>
    <t>heat was a problem</t>
  </si>
  <si>
    <t>STF-035</t>
  </si>
  <si>
    <t>vehicle arrived late</t>
  </si>
  <si>
    <t>STF-036</t>
  </si>
  <si>
    <t>Gwale</t>
  </si>
  <si>
    <t>Diso</t>
  </si>
  <si>
    <t>Transport/Logistics</t>
  </si>
  <si>
    <t>STF-037</t>
  </si>
  <si>
    <t>Panisau</t>
  </si>
  <si>
    <t>community leaders helped with mobilization</t>
  </si>
  <si>
    <t>STF-038</t>
  </si>
  <si>
    <t>STF-039</t>
  </si>
  <si>
    <t>Ibadan North</t>
  </si>
  <si>
    <t>Yemetu</t>
  </si>
  <si>
    <t>good session</t>
  </si>
  <si>
    <t>STF-040</t>
  </si>
  <si>
    <t>more staff would have helped, ok</t>
  </si>
  <si>
    <t>STF-041</t>
  </si>
  <si>
    <t>crowd small till noon</t>
  </si>
  <si>
    <t>STF-042</t>
  </si>
  <si>
    <t>Could have used one more person at registration.</t>
  </si>
  <si>
    <t>STF-043</t>
  </si>
  <si>
    <t>long wait at vaccination table, ran low on cards</t>
  </si>
  <si>
    <t>STF-044</t>
  </si>
  <si>
    <t>Lagos Mainland</t>
  </si>
  <si>
    <t>Ebute Metta</t>
  </si>
  <si>
    <t>STF-045</t>
  </si>
  <si>
    <t>STF-046</t>
  </si>
  <si>
    <t>STF-047</t>
  </si>
  <si>
    <t>Nassarawa</t>
  </si>
  <si>
    <t>Gwagwarwa</t>
  </si>
  <si>
    <t>STF-048</t>
  </si>
  <si>
    <t>STF-049</t>
  </si>
  <si>
    <t>Wakilin Kudu</t>
  </si>
  <si>
    <t>road bad after rain, got there late, supplies arrived late</t>
  </si>
  <si>
    <t>STF-050</t>
  </si>
  <si>
    <t>Alimosho</t>
  </si>
  <si>
    <t>Ipaja</t>
  </si>
  <si>
    <t>Average of Staffing_Adequacy_1_to_5</t>
  </si>
  <si>
    <t>Average</t>
  </si>
  <si>
    <t>Median</t>
  </si>
  <si>
    <t>Grand Total</t>
  </si>
  <si>
    <t>Count of Staff_ID</t>
  </si>
  <si>
    <t>Percentage</t>
  </si>
  <si>
    <t>Staffing Adequacy</t>
  </si>
  <si>
    <t>(blank)</t>
  </si>
  <si>
    <t>supplies Adequacy</t>
  </si>
  <si>
    <t>community mobilisation</t>
  </si>
  <si>
    <t>Data collection difficulty</t>
  </si>
  <si>
    <t>main operational challenge</t>
  </si>
  <si>
    <t>Average of Supplies_Adequacy_1_to_5</t>
  </si>
  <si>
    <t>Average of Data_Collection_Difficulty_1_to_5</t>
  </si>
  <si>
    <t>Priority improvement</t>
  </si>
  <si>
    <t>confidence in data completeness</t>
  </si>
  <si>
    <t>Average of Confidence_in_Data_Completeness_1_to_5</t>
  </si>
  <si>
    <t>Average of Community_Mobilization_1_to_5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</si>
</sst>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1.594696412038" createdVersion="8" refreshedVersion="8" minRefreshableVersion="3" recordCount="50" xr:uid="{11CD8140-E468-4EC9-A2D4-9F0BB6174B94}">
  <cacheSource type="worksheet">
    <worksheetSource name="Staff_Raw_Table"/>
  </cacheSource>
  <cacheFields count="17">
    <cacheField name="Staff_ID" numFmtId="0">
      <sharedItems/>
    </cacheField>
    <cacheField name="Outreach_Date" numFmtId="164">
      <sharedItems containsSemiMixedTypes="0" containsNonDate="0" containsDate="1" containsString="0" minDate="2026-05-05T00:00:00" maxDate="2026-05-28T00:00:00"/>
    </cacheField>
    <cacheField name="State" numFmtId="0">
      <sharedItems count="5">
        <s v="Oyo"/>
        <s v="Lagos"/>
        <s v="Kaduna"/>
        <s v="Kano"/>
        <s v="Katsina"/>
      </sharedItems>
    </cacheField>
    <cacheField name="LGA" numFmtId="0">
      <sharedItems count="17">
        <s v="Ogbomosho North"/>
        <s v="Ikorodu"/>
        <s v="Kaduna South"/>
        <s v="Ungogo"/>
        <s v="Kaduna North"/>
        <s v="Funtua"/>
        <s v="Oyo East"/>
        <s v="Batagarawa"/>
        <s v="Dala"/>
        <s v="Daura"/>
        <s v="Zaria"/>
        <s v="Gwale"/>
        <s v="Ibadan North"/>
        <s v="Lagos Mainland"/>
        <s v="Nassarawa"/>
        <s v="Katsina"/>
        <s v="Alimosho"/>
      </sharedItems>
    </cacheField>
    <cacheField name="Community" numFmtId="0">
      <sharedItems containsBlank="1"/>
    </cacheField>
    <cacheField name="Role" numFmtId="0">
      <sharedItems/>
    </cacheField>
    <cacheField name="Days_Deployed" numFmtId="1">
      <sharedItems containsString="0" containsBlank="1" containsNumber="1" containsInteger="1" minValue="1" maxValue="18"/>
    </cacheField>
    <cacheField name="Staffing_Adequacy_1_to_5" numFmtId="1">
      <sharedItems containsSemiMixedTypes="0" containsString="0" containsNumber="1" containsInteger="1" minValue="1" maxValue="5" count="5">
        <n v="5"/>
        <n v="2"/>
        <n v="4"/>
        <n v="3"/>
        <n v="1"/>
      </sharedItems>
    </cacheField>
    <cacheField name="Supplies_Adequacy_1_to_5" numFmtId="1">
      <sharedItems containsString="0" containsBlank="1" containsNumber="1" containsInteger="1" minValue="1" maxValue="5" count="6">
        <n v="3"/>
        <n v="4"/>
        <n v="5"/>
        <n v="2"/>
        <n v="1"/>
        <m/>
      </sharedItems>
    </cacheField>
    <cacheField name="Community_Mobilization_1_to_5" numFmtId="1">
      <sharedItems containsString="0" containsBlank="1" containsNumber="1" containsInteger="1" minValue="1" maxValue="5" count="6">
        <n v="5"/>
        <n v="3"/>
        <n v="2"/>
        <n v="4"/>
        <n v="1"/>
        <m/>
      </sharedItems>
    </cacheField>
    <cacheField name="Data_Collection_Difficulty_1_to_5" numFmtId="1">
      <sharedItems containsString="0" containsBlank="1" containsNumber="1" containsInteger="1" minValue="1" maxValue="5" count="6">
        <n v="2"/>
        <n v="3"/>
        <n v="4"/>
        <n v="5"/>
        <n v="1"/>
        <m/>
      </sharedItems>
    </cacheField>
    <cacheField name="Main_Operational_Challenge" numFmtId="0">
      <sharedItems count="7">
        <s v="Documentation workload"/>
        <s v="Language/communication"/>
        <s v="low turnout"/>
        <s v="Long waiting time"/>
        <s v="Transport/logistics"/>
        <s v="No Major Challenge"/>
        <s v="Insufficient staff"/>
      </sharedItems>
    </cacheField>
    <cacheField name="Average_Daily_Beneficiaries" numFmtId="3">
      <sharedItems containsString="0" containsBlank="1" containsNumber="1" containsInteger="1" minValue="31" maxValue="480"/>
    </cacheField>
    <cacheField name="Would_Change_Something_Next_Time" numFmtId="0">
      <sharedItems/>
    </cacheField>
    <cacheField name="Priority_Improvement" numFmtId="0">
      <sharedItems containsBlank="1" count="9">
        <s v="More supplies"/>
        <s v="Better local-language communication"/>
        <s v="More outreach days"/>
        <s v="Earlier community mobilization"/>
        <s v="Better transport planning"/>
        <s v="Simpler registration"/>
        <s v="More staff"/>
        <s v="More Staff "/>
        <m/>
      </sharedItems>
    </cacheField>
    <cacheField name="Confidence_in_Data_Completeness_1_to_5" numFmtId="1">
      <sharedItems containsString="0" containsBlank="1" containsNumber="1" containsInteger="1" minValue="2" maxValue="5" count="5">
        <n v="3"/>
        <n v="4"/>
        <n v="5"/>
        <n v="2"/>
        <m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STF-001"/>
    <d v="2026-05-05T00:00:00"/>
    <x v="0"/>
    <x v="0"/>
    <m/>
    <s v="Vaccinator"/>
    <n v="3"/>
    <x v="0"/>
    <x v="0"/>
    <x v="0"/>
    <x v="0"/>
    <x v="0"/>
    <n v="96"/>
    <s v="Yes"/>
    <x v="0"/>
    <x v="0"/>
    <s v="documentation took extra time"/>
  </r>
  <r>
    <s v="STF-002"/>
    <d v="2026-05-05T00:00:00"/>
    <x v="1"/>
    <x v="1"/>
    <s v="Igbogbo"/>
    <s v="CHW"/>
    <n v="2"/>
    <x v="1"/>
    <x v="0"/>
    <x v="1"/>
    <x v="1"/>
    <x v="1"/>
    <n v="49"/>
    <s v="No"/>
    <x v="1"/>
    <x v="1"/>
    <s v="language barrier with a few caregivers"/>
  </r>
  <r>
    <s v="STF-003"/>
    <d v="2026-05-05T00:00:00"/>
    <x v="2"/>
    <x v="2"/>
    <s v="Barnawa"/>
    <s v="Data/Records Officer"/>
    <n v="2"/>
    <x v="2"/>
    <x v="0"/>
    <x v="0"/>
    <x v="0"/>
    <x v="2"/>
    <n v="96"/>
    <s v="No"/>
    <x v="0"/>
    <x v="1"/>
    <s v="few mothers came in the morning"/>
  </r>
  <r>
    <s v="STF-004"/>
    <d v="2026-05-05T00:00:00"/>
    <x v="0"/>
    <x v="0"/>
    <s v="Isale General"/>
    <s v="Data/Records Officer"/>
    <n v="2"/>
    <x v="1"/>
    <x v="1"/>
    <x v="0"/>
    <x v="2"/>
    <x v="3"/>
    <n v="93"/>
    <s v="No"/>
    <x v="2"/>
    <x v="0"/>
    <s v="registration smooth, no problems"/>
  </r>
  <r>
    <s v="STF-005"/>
    <d v="2026-05-05T00:00:00"/>
    <x v="1"/>
    <x v="1"/>
    <s v="Igbogbo"/>
    <s v="Data/Records Officer"/>
    <n v="3"/>
    <x v="2"/>
    <x v="0"/>
    <x v="2"/>
    <x v="1"/>
    <x v="2"/>
    <n v="50"/>
    <s v="Yes"/>
    <x v="3"/>
    <x v="2"/>
    <s v="turnout was better than expected"/>
  </r>
  <r>
    <s v="STF-006"/>
    <d v="2026-05-05T00:00:00"/>
    <x v="0"/>
    <x v="0"/>
    <s v="Isale General"/>
    <s v="Community Mobilizer"/>
    <n v="2"/>
    <x v="0"/>
    <x v="2"/>
    <x v="3"/>
    <x v="1"/>
    <x v="3"/>
    <n v="93"/>
    <s v="Yes"/>
    <x v="4"/>
    <x v="1"/>
    <s v="long wait at vaccination table"/>
  </r>
  <r>
    <s v="STF-007"/>
    <d v="2026-05-05T00:00:00"/>
    <x v="0"/>
    <x v="0"/>
    <s v="Isale General"/>
    <s v="CHW"/>
    <n v="6"/>
    <x v="3"/>
    <x v="2"/>
    <x v="1"/>
    <x v="3"/>
    <x v="1"/>
    <n v="73"/>
    <s v="Yes"/>
    <x v="4"/>
    <x v="1"/>
    <s v="hard explaining to some visitors in their language"/>
  </r>
  <r>
    <s v="STF-008"/>
    <d v="2026-05-05T00:00:00"/>
    <x v="2"/>
    <x v="2"/>
    <s v="Barnawa"/>
    <s v="Vaccinator "/>
    <n v="6"/>
    <x v="2"/>
    <x v="3"/>
    <x v="1"/>
    <x v="4"/>
    <x v="0"/>
    <n v="73"/>
    <s v="Yes"/>
    <x v="0"/>
    <x v="1"/>
    <s v="tally sheets slowed us down"/>
  </r>
  <r>
    <s v="STF-009"/>
    <d v="2026-05-05T00:00:00"/>
    <x v="1"/>
    <x v="1"/>
    <s v="Igbogbo"/>
    <s v="Nurse/Midwife"/>
    <n v="4"/>
    <x v="0"/>
    <x v="1"/>
    <x v="3"/>
    <x v="1"/>
    <x v="4"/>
    <n v="61"/>
    <s v="Yes"/>
    <x v="4"/>
    <x v="1"/>
    <s v="had to trek last stretch"/>
  </r>
  <r>
    <s v="STF-010"/>
    <d v="2026-05-06T00:00:00"/>
    <x v="3"/>
    <x v="3"/>
    <s v="Rijiyar Zaki"/>
    <s v="Vaccinator"/>
    <n v="5"/>
    <x v="3"/>
    <x v="0"/>
    <x v="3"/>
    <x v="1"/>
    <x v="5"/>
    <n v="125"/>
    <s v="No"/>
    <x v="0"/>
    <x v="1"/>
    <s v="fine overall"/>
  </r>
  <r>
    <s v="STF-011"/>
    <d v="2026-05-06T00:00:00"/>
    <x v="2"/>
    <x v="4"/>
    <s v="Doka"/>
    <s v="Data/Records Officer"/>
    <n v="4"/>
    <x v="4"/>
    <x v="1"/>
    <x v="3"/>
    <x v="5"/>
    <x v="0"/>
    <n v="97"/>
    <s v="Yes"/>
    <x v="3"/>
    <x v="1"/>
    <m/>
  </r>
  <r>
    <s v="STF-012"/>
    <d v="2026-05-06T00:00:00"/>
    <x v="2"/>
    <x v="4"/>
    <s v="Doka"/>
    <s v="Community Mobilizer"/>
    <n v="3"/>
    <x v="1"/>
    <x v="1"/>
    <x v="1"/>
    <x v="3"/>
    <x v="6"/>
    <n v="103"/>
    <s v="Yes"/>
    <x v="4"/>
    <x v="3"/>
    <s v="short-handed at the table"/>
  </r>
  <r>
    <s v="STF-013"/>
    <d v="2026-05-06T00:00:00"/>
    <x v="3"/>
    <x v="3"/>
    <s v="Rijiyar Zaki"/>
    <s v="Community Mobilizer"/>
    <n v="18"/>
    <x v="3"/>
    <x v="0"/>
    <x v="3"/>
    <x v="0"/>
    <x v="0"/>
    <n v="140"/>
    <s v="Yes"/>
    <x v="5"/>
    <x v="0"/>
    <s v="registration took longer than expected"/>
  </r>
  <r>
    <s v="STF-014"/>
    <d v="2026-05-06T00:00:00"/>
    <x v="2"/>
    <x v="4"/>
    <s v="Doka"/>
    <s v="CHW"/>
    <n v="4"/>
    <x v="4"/>
    <x v="1"/>
    <x v="3"/>
    <x v="5"/>
    <x v="3"/>
    <n v="136"/>
    <s v="Yes"/>
    <x v="2"/>
    <x v="0"/>
    <s v="waiting time increased during the afternoon"/>
  </r>
  <r>
    <s v="STF-015"/>
    <d v="2026-05-06T00:00:00"/>
    <x v="2"/>
    <x v="4"/>
    <s v="Doka"/>
    <s v="CHW"/>
    <n v="15"/>
    <x v="1"/>
    <x v="0"/>
    <x v="3"/>
    <x v="2"/>
    <x v="3"/>
    <n v="118"/>
    <s v="No"/>
    <x v="1"/>
    <x v="0"/>
    <s v="long wait at vaccination table"/>
  </r>
  <r>
    <s v="STF-016"/>
    <d v="2026-05-06T00:00:00"/>
    <x v="3"/>
    <x v="3"/>
    <s v="Rijiyar Zaki"/>
    <s v="Program Officer"/>
    <n v="12"/>
    <x v="3"/>
    <x v="4"/>
    <x v="0"/>
    <x v="1"/>
    <x v="5"/>
    <m/>
    <s v="No"/>
    <x v="0"/>
    <x v="2"/>
    <s v="registration was manageable despite high turnout"/>
  </r>
  <r>
    <s v="STF-017"/>
    <d v="2026-05-06T00:00:00"/>
    <x v="3"/>
    <x v="3"/>
    <s v="Rijiyar Zaki"/>
    <s v="Vaccinator"/>
    <n v="3"/>
    <x v="3"/>
    <x v="1"/>
    <x v="0"/>
    <x v="1"/>
    <x v="3"/>
    <n v="123"/>
    <s v="Yes"/>
    <x v="6"/>
    <x v="2"/>
    <s v="people waited a lot, community leaders helped with mobilization"/>
  </r>
  <r>
    <s v="STF-018"/>
    <d v="2026-05-06T00:00:00"/>
    <x v="2"/>
    <x v="4"/>
    <s v="Doka"/>
    <s v="Vaccinator"/>
    <n v="4"/>
    <x v="1"/>
    <x v="1"/>
    <x v="3"/>
    <x v="1"/>
    <x v="6"/>
    <n v="85"/>
    <s v="Yes"/>
    <x v="7"/>
    <x v="3"/>
    <s v="2 of us doing the work of 4"/>
  </r>
  <r>
    <s v="STF-019"/>
    <d v="2026-05-06T00:00:00"/>
    <x v="3"/>
    <x v="3"/>
    <s v="Rijiyar Zaki"/>
    <s v="CHW"/>
    <n v="2"/>
    <x v="3"/>
    <x v="0"/>
    <x v="3"/>
    <x v="2"/>
    <x v="6"/>
    <n v="92"/>
    <s v="Yes"/>
    <x v="6"/>
    <x v="2"/>
    <s v="2 of us doing the work of 4"/>
  </r>
  <r>
    <s v="STF-020"/>
    <d v="2026-05-11T00:00:00"/>
    <x v="4"/>
    <x v="5"/>
    <s v="Unguwar Dahiru"/>
    <s v="CHW"/>
    <n v="2"/>
    <x v="1"/>
    <x v="1"/>
    <x v="3"/>
    <x v="2"/>
    <x v="6"/>
    <n v="92"/>
    <s v="No"/>
    <x v="6"/>
    <x v="1"/>
    <m/>
  </r>
  <r>
    <s v="STF-021"/>
    <d v="2026-05-11T00:00:00"/>
    <x v="4"/>
    <x v="5"/>
    <s v="Unguwar Dahiru"/>
    <s v="Vaccinator"/>
    <n v="9"/>
    <x v="2"/>
    <x v="1"/>
    <x v="1"/>
    <x v="1"/>
    <x v="5"/>
    <n v="87"/>
    <s v="No"/>
    <x v="8"/>
    <x v="1"/>
    <s v="registration was manageable despite high turnout"/>
  </r>
  <r>
    <s v="STF-022"/>
    <d v="2026-05-11T00:00:00"/>
    <x v="4"/>
    <x v="5"/>
    <s v="Unguwar Dahiru"/>
    <s v="Community Mobilizer"/>
    <n v="7"/>
    <x v="3"/>
    <x v="1"/>
    <x v="3"/>
    <x v="1"/>
    <x v="3"/>
    <n v="96"/>
    <s v="Yes"/>
    <x v="0"/>
    <x v="2"/>
    <s v="long wait at vaccination table, heat was a problem"/>
  </r>
  <r>
    <s v="STF-023"/>
    <d v="2026-05-11T00:00:00"/>
    <x v="4"/>
    <x v="5"/>
    <s v="Unguwar Dahiru"/>
    <s v="Data/Records Officer"/>
    <n v="4"/>
    <x v="2"/>
    <x v="2"/>
    <x v="0"/>
    <x v="2"/>
    <x v="1"/>
    <n v="104"/>
    <s v="Yes"/>
    <x v="2"/>
    <x v="4"/>
    <s v="language barrier with a few caregivers"/>
  </r>
  <r>
    <s v="STF-024"/>
    <d v="2026-05-12T00:00:00"/>
    <x v="0"/>
    <x v="6"/>
    <s v="Apaara"/>
    <s v="Vaccinator"/>
    <n v="6"/>
    <x v="0"/>
    <x v="5"/>
    <x v="3"/>
    <x v="2"/>
    <x v="2"/>
    <n v="50"/>
    <s v="Yes"/>
    <x v="5"/>
    <x v="0"/>
    <m/>
  </r>
  <r>
    <s v="STF-025"/>
    <d v="2026-05-12T00:00:00"/>
    <x v="4"/>
    <x v="7"/>
    <s v="Ajiwa"/>
    <s v="CHW"/>
    <n v="18"/>
    <x v="2"/>
    <x v="1"/>
    <x v="2"/>
    <x v="2"/>
    <x v="5"/>
    <n v="34"/>
    <s v="No"/>
    <x v="5"/>
    <x v="1"/>
    <m/>
  </r>
  <r>
    <s v="STF-026"/>
    <d v="2026-05-12T00:00:00"/>
    <x v="4"/>
    <x v="7"/>
    <s v="Ajiwa"/>
    <s v="Community Mobilizer"/>
    <n v="3"/>
    <x v="2"/>
    <x v="1"/>
    <x v="4"/>
    <x v="2"/>
    <x v="5"/>
    <n v="42"/>
    <s v="No"/>
    <x v="0"/>
    <x v="0"/>
    <s v="registration was manageable despite high turnout"/>
  </r>
  <r>
    <s v="STF-027"/>
    <d v="2026-05-12T00:00:00"/>
    <x v="0"/>
    <x v="6"/>
    <s v="Apaara"/>
    <s v="CHW"/>
    <n v="4"/>
    <x v="2"/>
    <x v="2"/>
    <x v="1"/>
    <x v="0"/>
    <x v="4"/>
    <n v="41"/>
    <s v="Yes"/>
    <x v="4"/>
    <x v="1"/>
    <s v="logistics a bit rough today"/>
  </r>
  <r>
    <s v="STF-028"/>
    <d v="2026-05-12T00:00:00"/>
    <x v="3"/>
    <x v="8"/>
    <s v="Yalwa"/>
    <s v="Nurse/Midwife"/>
    <n v="7"/>
    <x v="3"/>
    <x v="0"/>
    <x v="3"/>
    <x v="1"/>
    <x v="0"/>
    <n v="101"/>
    <s v="Yes"/>
    <x v="6"/>
    <x v="1"/>
    <s v="documentation took extra time, ran low on cards"/>
  </r>
  <r>
    <s v="STF-029"/>
    <d v="2026-05-12T00:00:00"/>
    <x v="3"/>
    <x v="8"/>
    <s v="Yalwa"/>
    <s v="CHW"/>
    <n v="6"/>
    <x v="3"/>
    <x v="0"/>
    <x v="0"/>
    <x v="2"/>
    <x v="4"/>
    <n v="134"/>
    <s v="Yes"/>
    <x v="2"/>
    <x v="1"/>
    <s v="logistics a bit rough today"/>
  </r>
  <r>
    <s v="STF-030"/>
    <d v="2026-05-13T00:00:00"/>
    <x v="4"/>
    <x v="9"/>
    <s v="Kusugu"/>
    <s v="Vaccinator"/>
    <n v="7"/>
    <x v="2"/>
    <x v="0"/>
    <x v="1"/>
    <x v="2"/>
    <x v="5"/>
    <n v="480"/>
    <s v="No"/>
    <x v="0"/>
    <x v="2"/>
    <s v="fine overall"/>
  </r>
  <r>
    <s v="STF-031"/>
    <d v="2026-05-13T00:00:00"/>
    <x v="2"/>
    <x v="10"/>
    <s v="Gyellesu"/>
    <s v="Program Officer"/>
    <n v="6"/>
    <x v="1"/>
    <x v="1"/>
    <x v="2"/>
    <x v="1"/>
    <x v="3"/>
    <n v="49"/>
    <s v="Yes"/>
    <x v="6"/>
    <x v="0"/>
    <m/>
  </r>
  <r>
    <s v="STF-032"/>
    <d v="2026-05-13T00:00:00"/>
    <x v="2"/>
    <x v="10"/>
    <s v="Gyellesu"/>
    <s v="Data/Records Officer"/>
    <n v="4"/>
    <x v="2"/>
    <x v="2"/>
    <x v="1"/>
    <x v="1"/>
    <x v="1"/>
    <n v="82"/>
    <s v="Yes"/>
    <x v="2"/>
    <x v="2"/>
    <s v="some beneficiaries needed language support"/>
  </r>
  <r>
    <s v="STF-033"/>
    <d v="2026-05-13T00:00:00"/>
    <x v="2"/>
    <x v="10"/>
    <s v="Gyellesu"/>
    <s v="Vaccinator"/>
    <n v="6"/>
    <x v="0"/>
    <x v="2"/>
    <x v="3"/>
    <x v="3"/>
    <x v="5"/>
    <n v="66"/>
    <s v="No"/>
    <x v="5"/>
    <x v="1"/>
    <s v="turnout was better than expected"/>
  </r>
  <r>
    <s v="STF-034"/>
    <d v="2026-05-13T00:00:00"/>
    <x v="4"/>
    <x v="9"/>
    <s v="Kusugu"/>
    <s v="Community Mobilizer"/>
    <m/>
    <x v="1"/>
    <x v="1"/>
    <x v="2"/>
    <x v="0"/>
    <x v="4"/>
    <n v="67"/>
    <s v="No"/>
    <x v="3"/>
    <x v="3"/>
    <s v="heat was a problem"/>
  </r>
  <r>
    <s v="STF-035"/>
    <d v="2026-05-13T00:00:00"/>
    <x v="4"/>
    <x v="9"/>
    <s v="Kusugu"/>
    <s v="CHW"/>
    <n v="5"/>
    <x v="1"/>
    <x v="2"/>
    <x v="4"/>
    <x v="1"/>
    <x v="4"/>
    <n v="43"/>
    <s v="Yes"/>
    <x v="0"/>
    <x v="4"/>
    <s v="vehicle arrived late"/>
  </r>
  <r>
    <s v="STF-036"/>
    <d v="2026-05-19T00:00:00"/>
    <x v="3"/>
    <x v="11"/>
    <s v="Diso"/>
    <s v="Vaccinator"/>
    <n v="1"/>
    <x v="2"/>
    <x v="4"/>
    <x v="0"/>
    <x v="0"/>
    <x v="4"/>
    <n v="64"/>
    <s v="No"/>
    <x v="4"/>
    <x v="2"/>
    <s v="vehicle arrived late"/>
  </r>
  <r>
    <s v="STF-037"/>
    <d v="2026-05-19T00:00:00"/>
    <x v="3"/>
    <x v="3"/>
    <s v="Panisau"/>
    <s v="CHW"/>
    <n v="12"/>
    <x v="3"/>
    <x v="1"/>
    <x v="1"/>
    <x v="2"/>
    <x v="5"/>
    <n v="77"/>
    <s v="No"/>
    <x v="5"/>
    <x v="0"/>
    <s v="community leaders helped with mobilization"/>
  </r>
  <r>
    <s v="STF-038"/>
    <d v="2026-05-19T00:00:00"/>
    <x v="3"/>
    <x v="11"/>
    <s v="Diso"/>
    <s v="Data/Records Officer"/>
    <n v="5"/>
    <x v="2"/>
    <x v="5"/>
    <x v="3"/>
    <x v="1"/>
    <x v="4"/>
    <n v="87"/>
    <s v="Yes"/>
    <x v="4"/>
    <x v="1"/>
    <s v="had to trek last stretch"/>
  </r>
  <r>
    <s v="STF-039"/>
    <d v="2026-05-19T00:00:00"/>
    <x v="0"/>
    <x v="12"/>
    <s v="Yemetu"/>
    <s v="Vaccinator"/>
    <n v="5"/>
    <x v="3"/>
    <x v="3"/>
    <x v="1"/>
    <x v="0"/>
    <x v="5"/>
    <n v="51"/>
    <s v="No"/>
    <x v="5"/>
    <x v="0"/>
    <s v="good session"/>
  </r>
  <r>
    <s v="STF-040"/>
    <d v="2026-05-19T00:00:00"/>
    <x v="3"/>
    <x v="3"/>
    <s v="Panisau"/>
    <s v="CHW"/>
    <n v="5"/>
    <x v="0"/>
    <x v="1"/>
    <x v="3"/>
    <x v="5"/>
    <x v="6"/>
    <n v="92"/>
    <s v="Yes"/>
    <x v="6"/>
    <x v="1"/>
    <s v="more staff would have helped, ok"/>
  </r>
  <r>
    <s v="STF-041"/>
    <d v="2026-05-19T00:00:00"/>
    <x v="3"/>
    <x v="3"/>
    <m/>
    <s v="Community Mobilizer"/>
    <n v="6"/>
    <x v="3"/>
    <x v="0"/>
    <x v="2"/>
    <x v="1"/>
    <x v="2"/>
    <n v="78"/>
    <s v="No"/>
    <x v="3"/>
    <x v="1"/>
    <s v="crowd small till noon"/>
  </r>
  <r>
    <s v="STF-042"/>
    <d v="2026-05-19T00:00:00"/>
    <x v="3"/>
    <x v="11"/>
    <s v="Diso"/>
    <s v="CHW"/>
    <n v="7"/>
    <x v="1"/>
    <x v="0"/>
    <x v="0"/>
    <x v="2"/>
    <x v="6"/>
    <n v="83"/>
    <s v="Yes"/>
    <x v="6"/>
    <x v="2"/>
    <s v="Could have used one more person at registration."/>
  </r>
  <r>
    <s v="STF-043"/>
    <d v="2026-05-19T00:00:00"/>
    <x v="0"/>
    <x v="12"/>
    <s v="Yemetu"/>
    <s v="CHW"/>
    <n v="5"/>
    <x v="0"/>
    <x v="2"/>
    <x v="1"/>
    <x v="4"/>
    <x v="3"/>
    <n v="83"/>
    <s v="Yes"/>
    <x v="3"/>
    <x v="1"/>
    <s v="long wait at vaccination table, ran low on cards"/>
  </r>
  <r>
    <s v="STF-044"/>
    <d v="2026-05-20T00:00:00"/>
    <x v="1"/>
    <x v="13"/>
    <s v="Ebute Metta"/>
    <s v="Data/Records Officer"/>
    <n v="4"/>
    <x v="1"/>
    <x v="1"/>
    <x v="1"/>
    <x v="4"/>
    <x v="4"/>
    <n v="66"/>
    <s v="Yes"/>
    <x v="4"/>
    <x v="2"/>
    <m/>
  </r>
  <r>
    <s v="STF-045"/>
    <d v="2026-05-20T00:00:00"/>
    <x v="1"/>
    <x v="13"/>
    <s v="Ebute Metta"/>
    <s v="Vaccinator"/>
    <n v="12"/>
    <x v="3"/>
    <x v="2"/>
    <x v="3"/>
    <x v="1"/>
    <x v="5"/>
    <n v="81"/>
    <s v="No"/>
    <x v="2"/>
    <x v="2"/>
    <s v="community leaders helped with mobilization"/>
  </r>
  <r>
    <s v="STF-046"/>
    <d v="2026-05-20T00:00:00"/>
    <x v="1"/>
    <x v="13"/>
    <s v="Ebute Metta"/>
    <s v="Nurse/Midwife"/>
    <n v="6"/>
    <x v="2"/>
    <x v="2"/>
    <x v="1"/>
    <x v="1"/>
    <x v="5"/>
    <n v="75"/>
    <s v="Yes"/>
    <x v="3"/>
    <x v="1"/>
    <s v="turnout was better than expected"/>
  </r>
  <r>
    <s v="STF-047"/>
    <d v="2026-05-20T00:00:00"/>
    <x v="3"/>
    <x v="14"/>
    <s v="Gwagwarwa"/>
    <s v="Program Officer"/>
    <n v="2"/>
    <x v="2"/>
    <x v="2"/>
    <x v="1"/>
    <x v="5"/>
    <x v="0"/>
    <n v="31"/>
    <s v="Yes"/>
    <x v="4"/>
    <x v="2"/>
    <s v="documentation took extra time"/>
  </r>
  <r>
    <s v="STF-048"/>
    <d v="2026-05-20T00:00:00"/>
    <x v="1"/>
    <x v="13"/>
    <s v="Ebute Metta"/>
    <s v="CHW"/>
    <n v="5"/>
    <x v="2"/>
    <x v="2"/>
    <x v="5"/>
    <x v="1"/>
    <x v="0"/>
    <n v="86"/>
    <s v="No"/>
    <x v="5"/>
    <x v="0"/>
    <s v="documentation took extra time"/>
  </r>
  <r>
    <s v="STF-049"/>
    <d v="2026-05-26T00:00:00"/>
    <x v="4"/>
    <x v="15"/>
    <s v="Wakilin Kudu"/>
    <s v="Data/Records Officer"/>
    <n v="5"/>
    <x v="3"/>
    <x v="1"/>
    <x v="3"/>
    <x v="0"/>
    <x v="4"/>
    <n v="48"/>
    <s v="Yes"/>
    <x v="3"/>
    <x v="2"/>
    <s v="road bad after rain, got there late, supplies arrived late"/>
  </r>
  <r>
    <s v="STF-050"/>
    <d v="2026-05-27T00:00:00"/>
    <x v="1"/>
    <x v="16"/>
    <s v="Ipaja"/>
    <s v="Community Mobilizer"/>
    <n v="1"/>
    <x v="1"/>
    <x v="1"/>
    <x v="1"/>
    <x v="1"/>
    <x v="2"/>
    <n v="71"/>
    <s v="Yes"/>
    <x v="5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1855E-740C-4DD1-9514-2D384717364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50:E73" firstHeaderRow="0" firstDataRow="1" firstDataCol="1"/>
  <pivotFields count="17">
    <pivotField showAll="0"/>
    <pivotField numFmtId="164" showAll="0"/>
    <pivotField axis="axisRow" showAll="0">
      <items count="6">
        <item x="2"/>
        <item x="3"/>
        <item x="4"/>
        <item x="1"/>
        <item x="0"/>
        <item t="default"/>
      </items>
    </pivotField>
    <pivotField axis="axisRow" showAll="0">
      <items count="18">
        <item x="16"/>
        <item x="7"/>
        <item x="8"/>
        <item x="9"/>
        <item x="5"/>
        <item x="11"/>
        <item x="12"/>
        <item x="1"/>
        <item x="4"/>
        <item x="2"/>
        <item x="15"/>
        <item x="13"/>
        <item x="14"/>
        <item x="0"/>
        <item x="6"/>
        <item x="3"/>
        <item x="10"/>
        <item t="default"/>
      </items>
    </pivotField>
    <pivotField showAll="0"/>
    <pivotField showAll="0"/>
    <pivotField showAll="0"/>
    <pivotField dataField="1" numFmtId="1" showAll="0">
      <items count="6">
        <item x="4"/>
        <item x="1"/>
        <item x="3"/>
        <item x="2"/>
        <item x="0"/>
        <item t="default"/>
      </items>
    </pivotField>
    <pivotField dataField="1" showAll="0">
      <items count="7">
        <item x="4"/>
        <item x="3"/>
        <item x="0"/>
        <item x="1"/>
        <item x="2"/>
        <item x="5"/>
        <item t="default"/>
      </items>
    </pivotField>
    <pivotField showAll="0">
      <items count="7">
        <item x="4"/>
        <item x="2"/>
        <item x="1"/>
        <item x="3"/>
        <item x="0"/>
        <item x="5"/>
        <item t="default"/>
      </items>
    </pivotField>
    <pivotField dataField="1"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8">
        <item x="0"/>
        <item x="6"/>
        <item x="1"/>
        <item x="3"/>
        <item x="2"/>
        <item x="5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2"/>
    <field x="3"/>
  </rowFields>
  <rowItems count="23">
    <i>
      <x/>
    </i>
    <i r="1">
      <x v="8"/>
    </i>
    <i r="1">
      <x v="9"/>
    </i>
    <i r="1">
      <x v="16"/>
    </i>
    <i>
      <x v="1"/>
    </i>
    <i r="1">
      <x v="2"/>
    </i>
    <i r="1">
      <x v="5"/>
    </i>
    <i r="1">
      <x v="12"/>
    </i>
    <i r="1">
      <x v="15"/>
    </i>
    <i>
      <x v="2"/>
    </i>
    <i r="1">
      <x v="1"/>
    </i>
    <i r="1">
      <x v="3"/>
    </i>
    <i r="1">
      <x v="4"/>
    </i>
    <i r="1">
      <x v="10"/>
    </i>
    <i>
      <x v="3"/>
    </i>
    <i r="1">
      <x/>
    </i>
    <i r="1">
      <x v="7"/>
    </i>
    <i r="1">
      <x v="11"/>
    </i>
    <i>
      <x v="4"/>
    </i>
    <i r="1">
      <x v="6"/>
    </i>
    <i r="1">
      <x v="13"/>
    </i>
    <i r="1"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taffing_Adequacy_1_to_5" fld="7" subtotal="average" baseField="0" baseItem="0" numFmtId="1"/>
    <dataField name="Average of Supplies_Adequacy_1_to_5" fld="8" subtotal="average" baseField="0" baseItem="0" numFmtId="1"/>
    <dataField name="Average of Data_Collection_Difficulty_1_to_5" fld="10" subtotal="average" baseField="0" baseItem="0"/>
    <dataField name="Average of Confidence_in_Data_Completeness_1_to_5" fld="15" subtotal="average" baseField="0" baseItem="0" numFmtId="1"/>
  </dataFields>
  <formats count="14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2"/>
          </reference>
          <reference field="2" count="1" selected="0">
            <x v="1"/>
          </reference>
          <reference field="3" count="1">
            <x v="15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2" count="1">
            <x v="2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2"/>
          </reference>
          <reference field="2" count="1" selected="0">
            <x v="2"/>
          </reference>
          <reference field="3" count="4">
            <x v="1"/>
            <x v="3"/>
            <x v="4"/>
            <x v="1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2"/>
          </reference>
          <reference field="2" count="1">
            <x v="3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2"/>
          </reference>
          <reference field="2" count="1" selected="0">
            <x v="3"/>
          </reference>
          <reference field="3" count="3">
            <x v="0"/>
            <x v="7"/>
            <x v="1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2"/>
          </reference>
          <reference field="2" count="1">
            <x v="4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2"/>
          </reference>
          <reference field="2" count="1" selected="0">
            <x v="4"/>
          </reference>
          <reference field="3" count="3">
            <x v="6"/>
            <x v="13"/>
            <x v="14"/>
          </reference>
        </references>
      </pivotArea>
    </format>
    <format dxfId="14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2" count="1">
            <x v="0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2"/>
          </reference>
          <reference field="2" count="1" selected="0">
            <x v="0"/>
          </reference>
          <reference field="3" count="3">
            <x v="8"/>
            <x v="9"/>
            <x v="16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2"/>
          </reference>
          <reference field="2" count="1">
            <x v="1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2"/>
          </reference>
          <reference field="2" count="1" selected="0">
            <x v="1"/>
          </reference>
          <reference field="3" count="2">
            <x v="2"/>
            <x v="5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6EA1C-DDE3-4532-A86A-E5526BFE5AF3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in operational challenge">
  <location ref="A40:C48" firstHeaderRow="0" firstDataRow="1" firstDataCol="1"/>
  <pivotFields count="17">
    <pivotField dataField="1" showAll="0"/>
    <pivotField numFmtId="164" showAll="0"/>
    <pivotField showAll="0"/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showAll="0">
      <items count="7">
        <item x="4"/>
        <item x="2"/>
        <item x="1"/>
        <item x="3"/>
        <item x="0"/>
        <item x="5"/>
        <item t="default"/>
      </items>
    </pivotField>
    <pivotField showAll="0">
      <items count="7">
        <item x="4"/>
        <item x="0"/>
        <item x="1"/>
        <item x="2"/>
        <item x="3"/>
        <item x="5"/>
        <item t="default"/>
      </items>
    </pivotField>
    <pivotField axis="axisRow" showAll="0">
      <items count="8">
        <item x="0"/>
        <item x="6"/>
        <item x="1"/>
        <item x="3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BC255-2BF8-41F9-8052-460FFB9C8D57}" name="PivotTable3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in operational challenge">
  <location ref="A103:C139" firstHeaderRow="0" firstDataRow="1" firstDataCol="1"/>
  <pivotFields count="17">
    <pivotField dataField="1" showAll="0"/>
    <pivotField numFmtId="164"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showAll="0">
      <items count="7">
        <item x="4"/>
        <item x="2"/>
        <item x="1"/>
        <item x="3"/>
        <item x="0"/>
        <item x="5"/>
        <item t="default"/>
      </items>
    </pivotField>
    <pivotField showAll="0">
      <items count="7">
        <item x="4"/>
        <item x="0"/>
        <item x="1"/>
        <item x="2"/>
        <item x="3"/>
        <item x="5"/>
        <item t="default"/>
      </items>
    </pivotField>
    <pivotField axis="axisRow" showAll="0">
      <items count="8">
        <item x="0"/>
        <item x="6"/>
        <item x="1"/>
        <item x="3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</pivotFields>
  <rowFields count="2">
    <field x="11"/>
    <field x="2"/>
  </rowFields>
  <rowItems count="36">
    <i>
      <x/>
    </i>
    <i r="1">
      <x/>
    </i>
    <i r="1">
      <x v="1"/>
    </i>
    <i r="1">
      <x v="3"/>
    </i>
    <i r="1">
      <x v="4"/>
    </i>
    <i>
      <x v="1"/>
    </i>
    <i r="1">
      <x/>
    </i>
    <i r="1">
      <x v="1"/>
    </i>
    <i r="1">
      <x v="2"/>
    </i>
    <i>
      <x v="2"/>
    </i>
    <i r="1">
      <x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4"/>
    </i>
    <i>
      <x v="4"/>
    </i>
    <i r="1">
      <x/>
    </i>
    <i r="1">
      <x v="1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260D5-55FF-4711-AF1A-99061C1A4B93}" name="PivotTable2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95:C101" firstHeaderRow="0" firstDataRow="1" firstDataCol="1"/>
  <pivotFields count="17">
    <pivotField dataField="1" showAll="0"/>
    <pivotField numFmtId="164"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dataField="1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mmunity_Mobilization_1_to_5" fld="9" subtotal="average" baseField="0" baseItem="0"/>
    <dataField name="Count of Staff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A85CC-23F3-4CCE-A268-73D515CF9BDC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a collection difficulty">
  <location ref="A30:C37" firstHeaderRow="0" firstDataRow="1" firstDataCol="1"/>
  <pivotFields count="17">
    <pivotField dataField="1" showAll="0"/>
    <pivotField numFmtId="164" showAll="0"/>
    <pivotField showAll="0"/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showAll="0">
      <items count="7">
        <item x="4"/>
        <item x="2"/>
        <item x="1"/>
        <item x="3"/>
        <item x="0"/>
        <item x="5"/>
        <item t="default"/>
      </items>
    </pivotField>
    <pivotField axis="axisRow"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DC60F-971F-4616-9722-F3CD95442D17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fidence in data completeness">
  <location ref="A87:C93" firstHeaderRow="0" firstDataRow="1" firstDataCol="1"/>
  <pivotFields count="17">
    <pivotField dataField="1" showAll="0"/>
    <pivotField numFmtId="164" showAll="0"/>
    <pivotField showAll="0"/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showAll="0">
      <items count="7">
        <item x="4"/>
        <item x="2"/>
        <item x="1"/>
        <item x="3"/>
        <item x="0"/>
        <item x="5"/>
        <item t="default"/>
      </items>
    </pivotField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8">
        <item x="0"/>
        <item x="6"/>
        <item x="1"/>
        <item x="3"/>
        <item x="2"/>
        <item x="5"/>
        <item x="4"/>
        <item t="default"/>
      </items>
    </pivotField>
    <pivotField showAll="0"/>
    <pivotField showAll="0"/>
    <pivotField showAll="0">
      <items count="10">
        <item x="1"/>
        <item x="4"/>
        <item x="3"/>
        <item x="2"/>
        <item x="6"/>
        <item x="7"/>
        <item x="0"/>
        <item x="5"/>
        <item x="8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79DC9-7C02-4F70-9022-3061B5BF336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munity mobilisation">
  <location ref="A21:C28" firstHeaderRow="0" firstDataRow="1" firstDataCol="1"/>
  <pivotFields count="17">
    <pivotField dataField="1" showAll="0"/>
    <pivotField numFmtId="164" showAll="0"/>
    <pivotField showAll="0"/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axis="axisRow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A4EF3-51D9-418A-8A7D-9475EF57017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lies Adequacy">
  <location ref="A12:C19" firstHeaderRow="0" firstDataRow="1" firstDataCol="1"/>
  <pivotFields count="17">
    <pivotField dataField="1" showAll="0"/>
    <pivotField numFmtId="164" showAll="0"/>
    <pivotField showAll="0"/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axis="axisRow" showAll="0">
      <items count="7">
        <item x="4"/>
        <item x="3"/>
        <item x="0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630E5-A4DD-4DDE-8E61-7A9ACFB4CC3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ority improvement">
  <location ref="A75:C85" firstHeaderRow="0" firstDataRow="1" firstDataCol="1"/>
  <pivotFields count="17">
    <pivotField dataField="1" showAll="0"/>
    <pivotField numFmtId="164" showAll="0"/>
    <pivotField showAll="0"/>
    <pivotField showAll="0"/>
    <pivotField showAll="0"/>
    <pivotField showAll="0"/>
    <pivotField showAll="0"/>
    <pivotField numFmtId="1"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1"/>
        <item x="2"/>
        <item x="5"/>
        <item t="default"/>
      </items>
    </pivotField>
    <pivotField showAll="0">
      <items count="7">
        <item x="4"/>
        <item x="2"/>
        <item x="1"/>
        <item x="3"/>
        <item x="0"/>
        <item x="5"/>
        <item t="default"/>
      </items>
    </pivotField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8">
        <item x="0"/>
        <item x="6"/>
        <item x="1"/>
        <item x="3"/>
        <item x="2"/>
        <item x="5"/>
        <item x="4"/>
        <item t="default"/>
      </items>
    </pivotField>
    <pivotField showAll="0"/>
    <pivotField showAll="0"/>
    <pivotField axis="axisRow" showAll="0">
      <items count="10">
        <item x="1"/>
        <item x="4"/>
        <item x="3"/>
        <item x="2"/>
        <item x="6"/>
        <item x="7"/>
        <item x="0"/>
        <item x="5"/>
        <item x="8"/>
        <item t="default"/>
      </items>
    </pivotField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E3153-2172-4A13-976B-E42B2315C88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ffing Adequacy">
  <location ref="A3:C9" firstHeaderRow="0" firstDataRow="1" firstDataCol="1"/>
  <pivotFields count="17">
    <pivotField dataField="1" showAll="0"/>
    <pivotField numFmtId="164" showAll="0"/>
    <pivotField showAll="0"/>
    <pivotField showAll="0"/>
    <pivotField showAll="0"/>
    <pivotField showAll="0"/>
    <pivotField showAll="0"/>
    <pivotField axis="axisRow" numFmtId="1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ff_ID" fld="0" subtotal="count" baseField="0" baseItem="0"/>
    <dataField name="Percentag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ff_Raw_Table" displayName="Staff_Raw_Table" ref="A1:Q52" totalsRowCount="1">
  <autoFilter ref="A1:Q51" xr:uid="{00000000-0009-0000-0100-000001000000}"/>
  <tableColumns count="17">
    <tableColumn id="1" xr3:uid="{00000000-0010-0000-0000-000001000000}" name="Staff_ID"/>
    <tableColumn id="2" xr3:uid="{00000000-0010-0000-0000-000002000000}" name="Outreach_Date"/>
    <tableColumn id="3" xr3:uid="{00000000-0010-0000-0000-000003000000}" name="State"/>
    <tableColumn id="4" xr3:uid="{00000000-0010-0000-0000-000004000000}" name="LGA"/>
    <tableColumn id="5" xr3:uid="{00000000-0010-0000-0000-000005000000}" name="Community"/>
    <tableColumn id="6" xr3:uid="{00000000-0010-0000-0000-000006000000}" name="Role"/>
    <tableColumn id="7" xr3:uid="{00000000-0010-0000-0000-000007000000}" name="Days_Deployed" totalsRowLabel="Average"/>
    <tableColumn id="8" xr3:uid="{00000000-0010-0000-0000-000008000000}" name="Staffing_Adequacy_1_to_5" totalsRowFunction="custom" totalsRowDxfId="8">
      <totalsRowFormula>AVERAGE(Staff_Raw_Table[Staffing_Adequacy_1_to_5])</totalsRowFormula>
    </tableColumn>
    <tableColumn id="9" xr3:uid="{00000000-0010-0000-0000-000009000000}" name="Supplies_Adequacy_1_to_5" totalsRowFunction="custom" totalsRowDxfId="7">
      <totalsRowFormula>AVERAGE(Staff_Raw_Table[Supplies_Adequacy_1_to_5])</totalsRowFormula>
    </tableColumn>
    <tableColumn id="10" xr3:uid="{00000000-0010-0000-0000-00000A000000}" name="Community_Mobilization_1_to_5" totalsRowFunction="custom" totalsRowDxfId="6">
      <totalsRowFormula>AVERAGE(Staff_Raw_Table[Community_Mobilization_1_to_5])</totalsRowFormula>
    </tableColumn>
    <tableColumn id="11" xr3:uid="{00000000-0010-0000-0000-00000B000000}" name="Data_Collection_Difficulty_1_to_5" totalsRowFunction="custom" totalsRowDxfId="5">
      <totalsRowFormula>AVERAGE(Staff_Raw_Table[Data_Collection_Difficulty_1_to_5])</totalsRowFormula>
    </tableColumn>
    <tableColumn id="12" xr3:uid="{00000000-0010-0000-0000-00000C000000}" name="Main_Operational_Challenge" totalsRowDxfId="4"/>
    <tableColumn id="13" xr3:uid="{00000000-0010-0000-0000-00000D000000}" name="Average_Daily_Beneficiaries" totalsRowFunction="custom" totalsRowDxfId="3">
      <totalsRowFormula>AVERAGE(Staff_Raw_Table[Average_Daily_Beneficiaries])</totalsRowFormula>
    </tableColumn>
    <tableColumn id="14" xr3:uid="{00000000-0010-0000-0000-00000E000000}" name="Would_Change_Something_Next_Time" totalsRowDxfId="2"/>
    <tableColumn id="15" xr3:uid="{00000000-0010-0000-0000-00000F000000}" name="Priority_Improvement" totalsRowDxfId="1"/>
    <tableColumn id="16" xr3:uid="{00000000-0010-0000-0000-000010000000}" name="Confidence_in_Data_Completeness_1_to_5" totalsRowFunction="custom" totalsRowDxfId="0">
      <totalsRowFormula>AVERAGE(Staff_Raw_Table[Confidence_in_Data_Completeness_1_to_5])</totalsRowFormula>
    </tableColumn>
    <tableColumn id="17" xr3:uid="{00000000-0010-0000-0000-000011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opLeftCell="N1" workbookViewId="0">
      <pane ySplit="1" topLeftCell="A38" activePane="bottomLeft" state="frozen"/>
      <selection pane="bottomLeft" activeCell="G52" sqref="G52:P53"/>
    </sheetView>
  </sheetViews>
  <sheetFormatPr defaultRowHeight="15" x14ac:dyDescent="0.25"/>
  <cols>
    <col min="1" max="1" width="10.28515625" bestFit="1" customWidth="1"/>
    <col min="2" max="2" width="16.7109375" bestFit="1" customWidth="1"/>
    <col min="3" max="3" width="7.85546875" bestFit="1" customWidth="1"/>
    <col min="4" max="4" width="17.5703125" bestFit="1" customWidth="1"/>
    <col min="5" max="5" width="15.28515625" bestFit="1" customWidth="1"/>
    <col min="6" max="6" width="20.42578125" bestFit="1" customWidth="1"/>
    <col min="7" max="7" width="17.140625" bestFit="1" customWidth="1"/>
    <col min="8" max="8" width="27.140625" bestFit="1" customWidth="1"/>
    <col min="9" max="9" width="28" bestFit="1" customWidth="1"/>
    <col min="10" max="10" width="33.42578125" bestFit="1" customWidth="1"/>
    <col min="11" max="11" width="34" bestFit="1" customWidth="1"/>
    <col min="12" max="12" width="29.85546875" bestFit="1" customWidth="1"/>
    <col min="13" max="13" width="29.140625" bestFit="1" customWidth="1"/>
    <col min="14" max="14" width="39" bestFit="1" customWidth="1"/>
    <col min="15" max="15" width="34.85546875" bestFit="1" customWidth="1"/>
    <col min="16" max="16" width="42.7109375" bestFit="1" customWidth="1"/>
    <col min="17" max="17" width="60.5703125" bestFit="1" customWidth="1"/>
  </cols>
  <sheetData>
    <row r="1" spans="1:17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46147</v>
      </c>
      <c r="C2" t="s">
        <v>18</v>
      </c>
      <c r="D2" t="s">
        <v>19</v>
      </c>
      <c r="F2" t="s">
        <v>20</v>
      </c>
      <c r="G2" s="3">
        <v>3</v>
      </c>
      <c r="H2" s="3">
        <v>5</v>
      </c>
      <c r="I2" s="3">
        <v>3</v>
      </c>
      <c r="J2" s="3">
        <v>5</v>
      </c>
      <c r="K2" s="3">
        <v>2</v>
      </c>
      <c r="L2" t="s">
        <v>21</v>
      </c>
      <c r="M2" s="4">
        <v>96</v>
      </c>
      <c r="N2" t="s">
        <v>22</v>
      </c>
      <c r="O2" t="s">
        <v>23</v>
      </c>
      <c r="P2" s="3">
        <v>3</v>
      </c>
      <c r="Q2" t="s">
        <v>24</v>
      </c>
    </row>
    <row r="3" spans="1:17" x14ac:dyDescent="0.25">
      <c r="A3" t="s">
        <v>25</v>
      </c>
      <c r="B3" s="2">
        <v>46147</v>
      </c>
      <c r="C3" t="s">
        <v>26</v>
      </c>
      <c r="D3" t="s">
        <v>27</v>
      </c>
      <c r="E3" t="s">
        <v>28</v>
      </c>
      <c r="F3" t="s">
        <v>29</v>
      </c>
      <c r="G3" s="3">
        <v>2</v>
      </c>
      <c r="H3" s="3">
        <v>2</v>
      </c>
      <c r="I3" s="3">
        <v>3</v>
      </c>
      <c r="J3" s="3">
        <v>3</v>
      </c>
      <c r="K3" s="3">
        <v>3</v>
      </c>
      <c r="L3" t="s">
        <v>30</v>
      </c>
      <c r="M3" s="4">
        <v>49</v>
      </c>
      <c r="N3" t="s">
        <v>31</v>
      </c>
      <c r="O3" t="s">
        <v>32</v>
      </c>
      <c r="P3" s="3">
        <v>4</v>
      </c>
      <c r="Q3" t="s">
        <v>33</v>
      </c>
    </row>
    <row r="4" spans="1:17" x14ac:dyDescent="0.25">
      <c r="A4" t="s">
        <v>34</v>
      </c>
      <c r="B4" s="2">
        <v>46147</v>
      </c>
      <c r="C4" t="s">
        <v>35</v>
      </c>
      <c r="D4" t="s">
        <v>36</v>
      </c>
      <c r="E4" t="s">
        <v>37</v>
      </c>
      <c r="F4" t="s">
        <v>38</v>
      </c>
      <c r="G4" s="3">
        <v>2</v>
      </c>
      <c r="H4" s="3">
        <v>4</v>
      </c>
      <c r="I4" s="3">
        <v>3</v>
      </c>
      <c r="J4" s="3">
        <v>5</v>
      </c>
      <c r="K4" s="3">
        <v>2</v>
      </c>
      <c r="L4" t="s">
        <v>39</v>
      </c>
      <c r="M4" s="4">
        <v>96</v>
      </c>
      <c r="N4" t="s">
        <v>31</v>
      </c>
      <c r="O4" t="s">
        <v>23</v>
      </c>
      <c r="P4" s="3">
        <v>4</v>
      </c>
      <c r="Q4" t="s">
        <v>40</v>
      </c>
    </row>
    <row r="5" spans="1:17" x14ac:dyDescent="0.25">
      <c r="A5" t="s">
        <v>41</v>
      </c>
      <c r="B5" s="2">
        <v>46147</v>
      </c>
      <c r="C5" t="s">
        <v>18</v>
      </c>
      <c r="D5" t="s">
        <v>19</v>
      </c>
      <c r="E5" t="s">
        <v>42</v>
      </c>
      <c r="F5" t="s">
        <v>38</v>
      </c>
      <c r="G5" s="3">
        <v>2</v>
      </c>
      <c r="H5" s="3">
        <v>2</v>
      </c>
      <c r="I5" s="3">
        <v>4</v>
      </c>
      <c r="J5" s="3">
        <v>5</v>
      </c>
      <c r="K5" s="3">
        <v>4</v>
      </c>
      <c r="L5" t="s">
        <v>43</v>
      </c>
      <c r="M5" s="4">
        <v>93</v>
      </c>
      <c r="N5" t="s">
        <v>31</v>
      </c>
      <c r="O5" t="s">
        <v>44</v>
      </c>
      <c r="P5" s="3">
        <v>3</v>
      </c>
      <c r="Q5" t="s">
        <v>45</v>
      </c>
    </row>
    <row r="6" spans="1:17" x14ac:dyDescent="0.25">
      <c r="A6" t="s">
        <v>46</v>
      </c>
      <c r="B6" s="2">
        <v>46147</v>
      </c>
      <c r="C6" t="s">
        <v>26</v>
      </c>
      <c r="D6" t="s">
        <v>27</v>
      </c>
      <c r="E6" t="s">
        <v>28</v>
      </c>
      <c r="F6" t="s">
        <v>38</v>
      </c>
      <c r="G6" s="3">
        <v>3</v>
      </c>
      <c r="H6" s="3">
        <v>4</v>
      </c>
      <c r="I6" s="3">
        <v>3</v>
      </c>
      <c r="J6" s="3">
        <v>2</v>
      </c>
      <c r="K6" s="3">
        <v>3</v>
      </c>
      <c r="L6" t="s">
        <v>47</v>
      </c>
      <c r="M6" s="4">
        <v>50</v>
      </c>
      <c r="N6" t="s">
        <v>22</v>
      </c>
      <c r="O6" t="s">
        <v>48</v>
      </c>
      <c r="P6" s="3">
        <v>5</v>
      </c>
      <c r="Q6" t="s">
        <v>49</v>
      </c>
    </row>
    <row r="7" spans="1:17" x14ac:dyDescent="0.25">
      <c r="A7" t="s">
        <v>50</v>
      </c>
      <c r="B7" s="2">
        <v>46147</v>
      </c>
      <c r="C7" t="s">
        <v>18</v>
      </c>
      <c r="D7" t="s">
        <v>19</v>
      </c>
      <c r="E7" t="s">
        <v>42</v>
      </c>
      <c r="F7" t="s">
        <v>51</v>
      </c>
      <c r="G7" s="3">
        <v>2</v>
      </c>
      <c r="H7" s="3">
        <v>5</v>
      </c>
      <c r="I7" s="3">
        <v>5</v>
      </c>
      <c r="J7" s="3">
        <v>4</v>
      </c>
      <c r="K7" s="3">
        <v>3</v>
      </c>
      <c r="L7" t="s">
        <v>43</v>
      </c>
      <c r="M7" s="4">
        <v>93</v>
      </c>
      <c r="N7" t="s">
        <v>22</v>
      </c>
      <c r="O7" t="s">
        <v>52</v>
      </c>
      <c r="P7" s="3">
        <v>4</v>
      </c>
      <c r="Q7" t="s">
        <v>53</v>
      </c>
    </row>
    <row r="8" spans="1:17" x14ac:dyDescent="0.25">
      <c r="A8" t="s">
        <v>54</v>
      </c>
      <c r="B8" s="2">
        <v>46147</v>
      </c>
      <c r="C8" t="s">
        <v>18</v>
      </c>
      <c r="D8" t="s">
        <v>19</v>
      </c>
      <c r="E8" t="s">
        <v>42</v>
      </c>
      <c r="F8" t="s">
        <v>29</v>
      </c>
      <c r="G8" s="3">
        <v>6</v>
      </c>
      <c r="H8" s="3">
        <v>3</v>
      </c>
      <c r="I8" s="3">
        <v>5</v>
      </c>
      <c r="J8" s="3">
        <v>3</v>
      </c>
      <c r="K8" s="3">
        <v>5</v>
      </c>
      <c r="L8" t="s">
        <v>30</v>
      </c>
      <c r="M8" s="4">
        <v>73</v>
      </c>
      <c r="N8" t="s">
        <v>22</v>
      </c>
      <c r="O8" t="s">
        <v>52</v>
      </c>
      <c r="P8" s="3">
        <v>4</v>
      </c>
      <c r="Q8" t="s">
        <v>55</v>
      </c>
    </row>
    <row r="9" spans="1:17" x14ac:dyDescent="0.25">
      <c r="A9" t="s">
        <v>56</v>
      </c>
      <c r="B9" s="2">
        <v>46147</v>
      </c>
      <c r="C9" t="s">
        <v>35</v>
      </c>
      <c r="D9" t="s">
        <v>36</v>
      </c>
      <c r="E9" t="s">
        <v>37</v>
      </c>
      <c r="F9" t="s">
        <v>57</v>
      </c>
      <c r="G9" s="3">
        <v>6</v>
      </c>
      <c r="H9" s="3">
        <v>4</v>
      </c>
      <c r="I9" s="3">
        <v>2</v>
      </c>
      <c r="J9" s="3">
        <v>3</v>
      </c>
      <c r="K9" s="3">
        <v>1</v>
      </c>
      <c r="L9" t="s">
        <v>21</v>
      </c>
      <c r="M9" s="4">
        <v>73</v>
      </c>
      <c r="N9" t="s">
        <v>22</v>
      </c>
      <c r="O9" t="s">
        <v>23</v>
      </c>
      <c r="P9" s="3">
        <v>4</v>
      </c>
      <c r="Q9" t="s">
        <v>58</v>
      </c>
    </row>
    <row r="10" spans="1:17" x14ac:dyDescent="0.25">
      <c r="A10" t="s">
        <v>59</v>
      </c>
      <c r="B10" s="2">
        <v>46147</v>
      </c>
      <c r="C10" t="s">
        <v>26</v>
      </c>
      <c r="D10" t="s">
        <v>27</v>
      </c>
      <c r="E10" t="s">
        <v>28</v>
      </c>
      <c r="F10" t="s">
        <v>60</v>
      </c>
      <c r="G10" s="3">
        <v>4</v>
      </c>
      <c r="H10" s="3">
        <v>5</v>
      </c>
      <c r="I10" s="3">
        <v>4</v>
      </c>
      <c r="J10" s="3">
        <v>4</v>
      </c>
      <c r="K10" s="3">
        <v>3</v>
      </c>
      <c r="L10" t="s">
        <v>61</v>
      </c>
      <c r="M10" s="4">
        <v>61</v>
      </c>
      <c r="N10" t="s">
        <v>22</v>
      </c>
      <c r="O10" t="s">
        <v>52</v>
      </c>
      <c r="P10" s="3">
        <v>4</v>
      </c>
      <c r="Q10" t="s">
        <v>62</v>
      </c>
    </row>
    <row r="11" spans="1:17" x14ac:dyDescent="0.25">
      <c r="A11" t="s">
        <v>63</v>
      </c>
      <c r="B11" s="2">
        <v>46148</v>
      </c>
      <c r="C11" t="s">
        <v>64</v>
      </c>
      <c r="D11" t="s">
        <v>65</v>
      </c>
      <c r="E11" t="s">
        <v>66</v>
      </c>
      <c r="F11" t="s">
        <v>20</v>
      </c>
      <c r="G11" s="3">
        <v>5</v>
      </c>
      <c r="H11" s="3">
        <v>3</v>
      </c>
      <c r="I11" s="3">
        <v>3</v>
      </c>
      <c r="J11" s="3">
        <v>4</v>
      </c>
      <c r="K11" s="3">
        <v>3</v>
      </c>
      <c r="L11" t="s">
        <v>67</v>
      </c>
      <c r="M11" s="4">
        <v>125</v>
      </c>
      <c r="N11" t="s">
        <v>31</v>
      </c>
      <c r="O11" t="s">
        <v>23</v>
      </c>
      <c r="P11" s="3">
        <v>4</v>
      </c>
      <c r="Q11" t="s">
        <v>68</v>
      </c>
    </row>
    <row r="12" spans="1:17" x14ac:dyDescent="0.25">
      <c r="A12" t="s">
        <v>69</v>
      </c>
      <c r="B12" s="2">
        <v>46148</v>
      </c>
      <c r="C12" t="s">
        <v>35</v>
      </c>
      <c r="D12" t="s">
        <v>70</v>
      </c>
      <c r="E12" t="s">
        <v>71</v>
      </c>
      <c r="F12" t="s">
        <v>38</v>
      </c>
      <c r="G12" s="3">
        <v>4</v>
      </c>
      <c r="H12" s="3">
        <v>1</v>
      </c>
      <c r="I12" s="3">
        <v>4</v>
      </c>
      <c r="J12" s="3">
        <v>4</v>
      </c>
      <c r="K12" s="3"/>
      <c r="L12" t="s">
        <v>21</v>
      </c>
      <c r="M12" s="4">
        <v>97</v>
      </c>
      <c r="N12" t="s">
        <v>22</v>
      </c>
      <c r="O12" t="s">
        <v>48</v>
      </c>
      <c r="P12" s="3">
        <v>4</v>
      </c>
    </row>
    <row r="13" spans="1:17" x14ac:dyDescent="0.25">
      <c r="A13" t="s">
        <v>72</v>
      </c>
      <c r="B13" s="2">
        <v>46148</v>
      </c>
      <c r="C13" t="s">
        <v>35</v>
      </c>
      <c r="D13" t="s">
        <v>70</v>
      </c>
      <c r="E13" t="s">
        <v>71</v>
      </c>
      <c r="F13" t="s">
        <v>51</v>
      </c>
      <c r="G13" s="3">
        <v>3</v>
      </c>
      <c r="H13" s="3">
        <v>2</v>
      </c>
      <c r="I13" s="3">
        <v>4</v>
      </c>
      <c r="J13" s="3">
        <v>3</v>
      </c>
      <c r="K13" s="3">
        <v>5</v>
      </c>
      <c r="L13" t="s">
        <v>73</v>
      </c>
      <c r="M13" s="4">
        <v>103</v>
      </c>
      <c r="N13" t="s">
        <v>22</v>
      </c>
      <c r="O13" t="s">
        <v>52</v>
      </c>
      <c r="P13" s="3">
        <v>2</v>
      </c>
      <c r="Q13" t="s">
        <v>74</v>
      </c>
    </row>
    <row r="14" spans="1:17" x14ac:dyDescent="0.25">
      <c r="A14" t="s">
        <v>75</v>
      </c>
      <c r="B14" s="2">
        <v>46148</v>
      </c>
      <c r="C14" t="s">
        <v>64</v>
      </c>
      <c r="D14" t="s">
        <v>65</v>
      </c>
      <c r="E14" t="s">
        <v>66</v>
      </c>
      <c r="F14" t="s">
        <v>51</v>
      </c>
      <c r="G14" s="3">
        <v>18</v>
      </c>
      <c r="H14" s="3">
        <v>3</v>
      </c>
      <c r="I14" s="3">
        <v>3</v>
      </c>
      <c r="J14" s="3">
        <v>4</v>
      </c>
      <c r="K14" s="3">
        <v>2</v>
      </c>
      <c r="L14" t="s">
        <v>21</v>
      </c>
      <c r="M14" s="4">
        <v>140</v>
      </c>
      <c r="N14" t="s">
        <v>22</v>
      </c>
      <c r="O14" t="s">
        <v>76</v>
      </c>
      <c r="P14" s="3">
        <v>3</v>
      </c>
      <c r="Q14" t="s">
        <v>77</v>
      </c>
    </row>
    <row r="15" spans="1:17" x14ac:dyDescent="0.25">
      <c r="A15" t="s">
        <v>78</v>
      </c>
      <c r="B15" s="2">
        <v>46148</v>
      </c>
      <c r="C15" t="s">
        <v>35</v>
      </c>
      <c r="D15" t="s">
        <v>70</v>
      </c>
      <c r="E15" t="s">
        <v>71</v>
      </c>
      <c r="F15" t="s">
        <v>29</v>
      </c>
      <c r="G15" s="3">
        <v>4</v>
      </c>
      <c r="H15" s="3">
        <v>1</v>
      </c>
      <c r="I15" s="3">
        <v>4</v>
      </c>
      <c r="J15" s="3">
        <v>4</v>
      </c>
      <c r="K15" s="3"/>
      <c r="L15" t="s">
        <v>43</v>
      </c>
      <c r="M15" s="4">
        <v>136</v>
      </c>
      <c r="N15" t="s">
        <v>22</v>
      </c>
      <c r="O15" t="s">
        <v>44</v>
      </c>
      <c r="P15" s="3">
        <v>3</v>
      </c>
      <c r="Q15" t="s">
        <v>79</v>
      </c>
    </row>
    <row r="16" spans="1:17" x14ac:dyDescent="0.25">
      <c r="A16" t="s">
        <v>80</v>
      </c>
      <c r="B16" s="2">
        <v>46148</v>
      </c>
      <c r="C16" t="s">
        <v>35</v>
      </c>
      <c r="D16" t="s">
        <v>70</v>
      </c>
      <c r="E16" t="s">
        <v>71</v>
      </c>
      <c r="F16" t="s">
        <v>29</v>
      </c>
      <c r="G16" s="3">
        <v>15</v>
      </c>
      <c r="H16" s="3">
        <v>2</v>
      </c>
      <c r="I16" s="3">
        <v>3</v>
      </c>
      <c r="J16" s="3">
        <v>4</v>
      </c>
      <c r="K16" s="3">
        <v>4</v>
      </c>
      <c r="L16" t="s">
        <v>43</v>
      </c>
      <c r="M16" s="4">
        <v>118</v>
      </c>
      <c r="N16" t="s">
        <v>31</v>
      </c>
      <c r="O16" t="s">
        <v>32</v>
      </c>
      <c r="P16" s="3">
        <v>3</v>
      </c>
      <c r="Q16" t="s">
        <v>53</v>
      </c>
    </row>
    <row r="17" spans="1:17" x14ac:dyDescent="0.25">
      <c r="A17" t="s">
        <v>81</v>
      </c>
      <c r="B17" s="2">
        <v>46148</v>
      </c>
      <c r="C17" t="s">
        <v>64</v>
      </c>
      <c r="D17" t="s">
        <v>65</v>
      </c>
      <c r="E17" t="s">
        <v>66</v>
      </c>
      <c r="F17" t="s">
        <v>82</v>
      </c>
      <c r="G17" s="3">
        <v>12</v>
      </c>
      <c r="H17" s="3">
        <v>3</v>
      </c>
      <c r="I17" s="3">
        <v>1</v>
      </c>
      <c r="J17" s="3">
        <v>5</v>
      </c>
      <c r="K17" s="3">
        <v>3</v>
      </c>
      <c r="L17" t="s">
        <v>83</v>
      </c>
      <c r="M17" s="4"/>
      <c r="N17" t="s">
        <v>31</v>
      </c>
      <c r="O17" t="s">
        <v>23</v>
      </c>
      <c r="P17" s="3">
        <v>5</v>
      </c>
      <c r="Q17" t="s">
        <v>84</v>
      </c>
    </row>
    <row r="18" spans="1:17" x14ac:dyDescent="0.25">
      <c r="A18" t="s">
        <v>85</v>
      </c>
      <c r="B18" s="2">
        <v>46148</v>
      </c>
      <c r="C18" t="s">
        <v>64</v>
      </c>
      <c r="D18" t="s">
        <v>65</v>
      </c>
      <c r="E18" t="s">
        <v>66</v>
      </c>
      <c r="F18" t="s">
        <v>20</v>
      </c>
      <c r="G18" s="3">
        <v>3</v>
      </c>
      <c r="H18" s="3">
        <v>3</v>
      </c>
      <c r="I18" s="3">
        <v>4</v>
      </c>
      <c r="J18" s="3">
        <v>5</v>
      </c>
      <c r="K18" s="3">
        <v>3</v>
      </c>
      <c r="L18" t="s">
        <v>43</v>
      </c>
      <c r="M18" s="4">
        <v>123</v>
      </c>
      <c r="N18" t="s">
        <v>22</v>
      </c>
      <c r="O18" t="s">
        <v>86</v>
      </c>
      <c r="P18" s="3">
        <v>5</v>
      </c>
      <c r="Q18" t="s">
        <v>87</v>
      </c>
    </row>
    <row r="19" spans="1:17" x14ac:dyDescent="0.25">
      <c r="A19" t="s">
        <v>88</v>
      </c>
      <c r="B19" s="2">
        <v>46148</v>
      </c>
      <c r="C19" t="s">
        <v>35</v>
      </c>
      <c r="D19" t="s">
        <v>70</v>
      </c>
      <c r="E19" t="s">
        <v>71</v>
      </c>
      <c r="F19" t="s">
        <v>20</v>
      </c>
      <c r="G19" s="3">
        <v>4</v>
      </c>
      <c r="H19" s="3">
        <v>2</v>
      </c>
      <c r="I19" s="3">
        <v>4</v>
      </c>
      <c r="J19" s="3">
        <v>4</v>
      </c>
      <c r="K19" s="3">
        <v>3</v>
      </c>
      <c r="L19" t="s">
        <v>73</v>
      </c>
      <c r="M19" s="4">
        <v>85</v>
      </c>
      <c r="N19" t="s">
        <v>22</v>
      </c>
      <c r="O19" t="s">
        <v>89</v>
      </c>
      <c r="P19" s="3">
        <v>2</v>
      </c>
      <c r="Q19" t="s">
        <v>90</v>
      </c>
    </row>
    <row r="20" spans="1:17" x14ac:dyDescent="0.25">
      <c r="A20" t="s">
        <v>91</v>
      </c>
      <c r="B20" s="2">
        <v>46148</v>
      </c>
      <c r="C20" t="s">
        <v>64</v>
      </c>
      <c r="D20" t="s">
        <v>65</v>
      </c>
      <c r="E20" t="s">
        <v>66</v>
      </c>
      <c r="F20" t="s">
        <v>29</v>
      </c>
      <c r="G20" s="3">
        <v>2</v>
      </c>
      <c r="H20" s="3">
        <v>3</v>
      </c>
      <c r="I20" s="3">
        <v>3</v>
      </c>
      <c r="J20" s="3">
        <v>4</v>
      </c>
      <c r="K20" s="3">
        <v>4</v>
      </c>
      <c r="L20" t="s">
        <v>73</v>
      </c>
      <c r="M20" s="4">
        <v>92</v>
      </c>
      <c r="N20" t="s">
        <v>22</v>
      </c>
      <c r="O20" t="s">
        <v>86</v>
      </c>
      <c r="P20" s="3">
        <v>5</v>
      </c>
      <c r="Q20" t="s">
        <v>90</v>
      </c>
    </row>
    <row r="21" spans="1:17" x14ac:dyDescent="0.25">
      <c r="A21" t="s">
        <v>92</v>
      </c>
      <c r="B21" s="2">
        <v>46153</v>
      </c>
      <c r="C21" t="s">
        <v>93</v>
      </c>
      <c r="D21" t="s">
        <v>94</v>
      </c>
      <c r="E21" t="s">
        <v>95</v>
      </c>
      <c r="F21" t="s">
        <v>29</v>
      </c>
      <c r="G21" s="3">
        <v>2</v>
      </c>
      <c r="H21" s="3">
        <v>2</v>
      </c>
      <c r="I21" s="3">
        <v>4</v>
      </c>
      <c r="J21" s="3">
        <v>4</v>
      </c>
      <c r="K21" s="3">
        <v>4</v>
      </c>
      <c r="L21" t="s">
        <v>73</v>
      </c>
      <c r="M21" s="4">
        <v>92</v>
      </c>
      <c r="N21" t="s">
        <v>31</v>
      </c>
      <c r="O21" t="s">
        <v>86</v>
      </c>
      <c r="P21" s="3">
        <v>4</v>
      </c>
    </row>
    <row r="22" spans="1:17" x14ac:dyDescent="0.25">
      <c r="A22" t="s">
        <v>96</v>
      </c>
      <c r="B22" s="2">
        <v>46153</v>
      </c>
      <c r="C22" t="s">
        <v>93</v>
      </c>
      <c r="D22" t="s">
        <v>94</v>
      </c>
      <c r="E22" t="s">
        <v>95</v>
      </c>
      <c r="F22" t="s">
        <v>20</v>
      </c>
      <c r="G22" s="3">
        <v>9</v>
      </c>
      <c r="H22" s="3">
        <v>4</v>
      </c>
      <c r="I22" s="3">
        <v>4</v>
      </c>
      <c r="J22" s="3">
        <v>3</v>
      </c>
      <c r="K22" s="3">
        <v>3</v>
      </c>
      <c r="L22" t="s">
        <v>83</v>
      </c>
      <c r="M22" s="4">
        <v>87</v>
      </c>
      <c r="N22" t="s">
        <v>31</v>
      </c>
      <c r="P22" s="3">
        <v>4</v>
      </c>
      <c r="Q22" t="s">
        <v>84</v>
      </c>
    </row>
    <row r="23" spans="1:17" x14ac:dyDescent="0.25">
      <c r="A23" t="s">
        <v>97</v>
      </c>
      <c r="B23" s="2">
        <v>46153</v>
      </c>
      <c r="C23" t="s">
        <v>93</v>
      </c>
      <c r="D23" t="s">
        <v>94</v>
      </c>
      <c r="E23" t="s">
        <v>95</v>
      </c>
      <c r="F23" t="s">
        <v>51</v>
      </c>
      <c r="G23" s="3">
        <v>7</v>
      </c>
      <c r="H23" s="3">
        <v>3</v>
      </c>
      <c r="I23" s="3">
        <v>4</v>
      </c>
      <c r="J23" s="3">
        <v>4</v>
      </c>
      <c r="K23" s="3">
        <v>3</v>
      </c>
      <c r="L23" t="s">
        <v>43</v>
      </c>
      <c r="M23" s="4">
        <v>96</v>
      </c>
      <c r="N23" t="s">
        <v>22</v>
      </c>
      <c r="O23" t="s">
        <v>23</v>
      </c>
      <c r="P23" s="3">
        <v>5</v>
      </c>
      <c r="Q23" t="s">
        <v>98</v>
      </c>
    </row>
    <row r="24" spans="1:17" x14ac:dyDescent="0.25">
      <c r="A24" t="s">
        <v>99</v>
      </c>
      <c r="B24" s="2">
        <v>46153</v>
      </c>
      <c r="C24" t="s">
        <v>93</v>
      </c>
      <c r="D24" t="s">
        <v>94</v>
      </c>
      <c r="E24" t="s">
        <v>95</v>
      </c>
      <c r="F24" t="s">
        <v>38</v>
      </c>
      <c r="G24" s="3">
        <v>4</v>
      </c>
      <c r="H24" s="3">
        <v>4</v>
      </c>
      <c r="I24" s="3">
        <v>5</v>
      </c>
      <c r="J24" s="3">
        <v>5</v>
      </c>
      <c r="K24" s="3">
        <v>4</v>
      </c>
      <c r="L24" t="s">
        <v>30</v>
      </c>
      <c r="M24" s="4">
        <v>104</v>
      </c>
      <c r="N24" t="s">
        <v>22</v>
      </c>
      <c r="O24" t="s">
        <v>44</v>
      </c>
      <c r="P24" s="3"/>
      <c r="Q24" t="s">
        <v>33</v>
      </c>
    </row>
    <row r="25" spans="1:17" x14ac:dyDescent="0.25">
      <c r="A25" t="s">
        <v>100</v>
      </c>
      <c r="B25" s="2">
        <v>46154</v>
      </c>
      <c r="C25" t="s">
        <v>18</v>
      </c>
      <c r="D25" t="s">
        <v>101</v>
      </c>
      <c r="E25" t="s">
        <v>102</v>
      </c>
      <c r="F25" t="s">
        <v>20</v>
      </c>
      <c r="G25" s="3">
        <v>6</v>
      </c>
      <c r="H25" s="3">
        <v>5</v>
      </c>
      <c r="I25" s="3"/>
      <c r="J25" s="3">
        <v>4</v>
      </c>
      <c r="K25" s="3">
        <v>4</v>
      </c>
      <c r="L25" t="s">
        <v>47</v>
      </c>
      <c r="M25" s="4">
        <v>50</v>
      </c>
      <c r="N25" t="s">
        <v>22</v>
      </c>
      <c r="O25" t="s">
        <v>76</v>
      </c>
      <c r="P25" s="3">
        <v>3</v>
      </c>
    </row>
    <row r="26" spans="1:17" x14ac:dyDescent="0.25">
      <c r="A26" t="s">
        <v>103</v>
      </c>
      <c r="B26" s="2">
        <v>46154</v>
      </c>
      <c r="C26" t="s">
        <v>93</v>
      </c>
      <c r="D26" t="s">
        <v>104</v>
      </c>
      <c r="E26" t="s">
        <v>105</v>
      </c>
      <c r="F26" t="s">
        <v>29</v>
      </c>
      <c r="G26" s="3">
        <v>18</v>
      </c>
      <c r="H26" s="3">
        <v>4</v>
      </c>
      <c r="I26" s="3">
        <v>4</v>
      </c>
      <c r="J26" s="3">
        <v>2</v>
      </c>
      <c r="K26" s="3">
        <v>4</v>
      </c>
      <c r="L26" t="s">
        <v>83</v>
      </c>
      <c r="M26" s="4">
        <v>34</v>
      </c>
      <c r="N26" t="s">
        <v>31</v>
      </c>
      <c r="O26" t="s">
        <v>76</v>
      </c>
      <c r="P26" s="3">
        <v>4</v>
      </c>
    </row>
    <row r="27" spans="1:17" x14ac:dyDescent="0.25">
      <c r="A27" t="s">
        <v>106</v>
      </c>
      <c r="B27" s="2">
        <v>46154</v>
      </c>
      <c r="C27" t="s">
        <v>93</v>
      </c>
      <c r="D27" t="s">
        <v>104</v>
      </c>
      <c r="E27" t="s">
        <v>105</v>
      </c>
      <c r="F27" t="s">
        <v>51</v>
      </c>
      <c r="G27" s="3">
        <v>3</v>
      </c>
      <c r="H27" s="3">
        <v>4</v>
      </c>
      <c r="I27" s="3">
        <v>4</v>
      </c>
      <c r="J27" s="3">
        <v>1</v>
      </c>
      <c r="K27" s="3">
        <v>4</v>
      </c>
      <c r="L27" t="s">
        <v>83</v>
      </c>
      <c r="M27" s="4">
        <v>42</v>
      </c>
      <c r="N27" t="s">
        <v>31</v>
      </c>
      <c r="O27" t="s">
        <v>23</v>
      </c>
      <c r="P27" s="3">
        <v>3</v>
      </c>
      <c r="Q27" t="s">
        <v>84</v>
      </c>
    </row>
    <row r="28" spans="1:17" x14ac:dyDescent="0.25">
      <c r="A28" t="s">
        <v>107</v>
      </c>
      <c r="B28" s="2">
        <v>46154</v>
      </c>
      <c r="C28" t="s">
        <v>18</v>
      </c>
      <c r="D28" t="s">
        <v>101</v>
      </c>
      <c r="E28" t="s">
        <v>102</v>
      </c>
      <c r="F28" t="s">
        <v>29</v>
      </c>
      <c r="G28" s="3">
        <v>4</v>
      </c>
      <c r="H28" s="3">
        <v>4</v>
      </c>
      <c r="I28" s="3">
        <v>5</v>
      </c>
      <c r="J28" s="3">
        <v>3</v>
      </c>
      <c r="K28" s="3">
        <v>2</v>
      </c>
      <c r="L28" t="s">
        <v>61</v>
      </c>
      <c r="M28" s="4">
        <v>41</v>
      </c>
      <c r="N28" t="s">
        <v>22</v>
      </c>
      <c r="O28" t="s">
        <v>52</v>
      </c>
      <c r="P28" s="3">
        <v>4</v>
      </c>
      <c r="Q28" t="s">
        <v>108</v>
      </c>
    </row>
    <row r="29" spans="1:17" x14ac:dyDescent="0.25">
      <c r="A29" t="s">
        <v>109</v>
      </c>
      <c r="B29" s="2">
        <v>46154</v>
      </c>
      <c r="C29" t="s">
        <v>64</v>
      </c>
      <c r="D29" t="s">
        <v>110</v>
      </c>
      <c r="E29" t="s">
        <v>111</v>
      </c>
      <c r="F29" t="s">
        <v>60</v>
      </c>
      <c r="G29" s="3">
        <v>7</v>
      </c>
      <c r="H29" s="3">
        <v>3</v>
      </c>
      <c r="I29" s="3">
        <v>3</v>
      </c>
      <c r="J29" s="3">
        <v>4</v>
      </c>
      <c r="K29" s="3">
        <v>3</v>
      </c>
      <c r="L29" t="s">
        <v>21</v>
      </c>
      <c r="M29" s="4">
        <v>101</v>
      </c>
      <c r="N29" t="s">
        <v>22</v>
      </c>
      <c r="O29" t="s">
        <v>86</v>
      </c>
      <c r="P29" s="3">
        <v>4</v>
      </c>
      <c r="Q29" t="s">
        <v>112</v>
      </c>
    </row>
    <row r="30" spans="1:17" x14ac:dyDescent="0.25">
      <c r="A30" t="s">
        <v>113</v>
      </c>
      <c r="B30" s="2">
        <v>46154</v>
      </c>
      <c r="C30" t="s">
        <v>64</v>
      </c>
      <c r="D30" t="s">
        <v>110</v>
      </c>
      <c r="E30" t="s">
        <v>111</v>
      </c>
      <c r="F30" t="s">
        <v>29</v>
      </c>
      <c r="G30" s="3">
        <v>6</v>
      </c>
      <c r="H30" s="3">
        <v>3</v>
      </c>
      <c r="I30" s="3">
        <v>3</v>
      </c>
      <c r="J30" s="3">
        <v>5</v>
      </c>
      <c r="K30" s="3">
        <v>4</v>
      </c>
      <c r="L30" t="s">
        <v>61</v>
      </c>
      <c r="M30" s="4">
        <v>134</v>
      </c>
      <c r="N30" t="s">
        <v>22</v>
      </c>
      <c r="O30" t="s">
        <v>44</v>
      </c>
      <c r="P30" s="3">
        <v>4</v>
      </c>
      <c r="Q30" t="s">
        <v>108</v>
      </c>
    </row>
    <row r="31" spans="1:17" x14ac:dyDescent="0.25">
      <c r="A31" t="s">
        <v>114</v>
      </c>
      <c r="B31" s="2">
        <v>46155</v>
      </c>
      <c r="C31" t="s">
        <v>93</v>
      </c>
      <c r="D31" t="s">
        <v>115</v>
      </c>
      <c r="E31" t="s">
        <v>116</v>
      </c>
      <c r="F31" t="s">
        <v>20</v>
      </c>
      <c r="G31" s="3">
        <v>7</v>
      </c>
      <c r="H31" s="3">
        <v>4</v>
      </c>
      <c r="I31" s="3">
        <v>3</v>
      </c>
      <c r="J31" s="3">
        <v>3</v>
      </c>
      <c r="K31" s="3">
        <v>4</v>
      </c>
      <c r="L31" t="s">
        <v>83</v>
      </c>
      <c r="M31" s="4">
        <v>480</v>
      </c>
      <c r="N31" t="s">
        <v>31</v>
      </c>
      <c r="O31" t="s">
        <v>23</v>
      </c>
      <c r="P31" s="3">
        <v>5</v>
      </c>
      <c r="Q31" t="s">
        <v>68</v>
      </c>
    </row>
    <row r="32" spans="1:17" x14ac:dyDescent="0.25">
      <c r="A32" t="s">
        <v>117</v>
      </c>
      <c r="B32" s="2">
        <v>46155</v>
      </c>
      <c r="C32" t="s">
        <v>35</v>
      </c>
      <c r="D32" t="s">
        <v>118</v>
      </c>
      <c r="E32" t="s">
        <v>119</v>
      </c>
      <c r="F32" t="s">
        <v>82</v>
      </c>
      <c r="G32" s="3">
        <v>6</v>
      </c>
      <c r="H32" s="3">
        <v>2</v>
      </c>
      <c r="I32" s="3">
        <v>4</v>
      </c>
      <c r="J32" s="3">
        <v>2</v>
      </c>
      <c r="K32" s="3">
        <v>3</v>
      </c>
      <c r="L32" t="s">
        <v>43</v>
      </c>
      <c r="M32" s="4">
        <v>49</v>
      </c>
      <c r="N32" t="s">
        <v>22</v>
      </c>
      <c r="O32" t="s">
        <v>86</v>
      </c>
      <c r="P32" s="3">
        <v>3</v>
      </c>
    </row>
    <row r="33" spans="1:17" x14ac:dyDescent="0.25">
      <c r="A33" t="s">
        <v>120</v>
      </c>
      <c r="B33" s="2">
        <v>46155</v>
      </c>
      <c r="C33" t="s">
        <v>35</v>
      </c>
      <c r="D33" t="s">
        <v>118</v>
      </c>
      <c r="E33" t="s">
        <v>119</v>
      </c>
      <c r="F33" t="s">
        <v>38</v>
      </c>
      <c r="G33" s="3">
        <v>4</v>
      </c>
      <c r="H33" s="3">
        <v>4</v>
      </c>
      <c r="I33" s="3">
        <v>5</v>
      </c>
      <c r="J33" s="3">
        <v>3</v>
      </c>
      <c r="K33" s="3">
        <v>3</v>
      </c>
      <c r="L33" t="s">
        <v>30</v>
      </c>
      <c r="M33" s="4">
        <v>82</v>
      </c>
      <c r="N33" t="s">
        <v>22</v>
      </c>
      <c r="O33" t="s">
        <v>44</v>
      </c>
      <c r="P33" s="3">
        <v>5</v>
      </c>
      <c r="Q33" t="s">
        <v>121</v>
      </c>
    </row>
    <row r="34" spans="1:17" x14ac:dyDescent="0.25">
      <c r="A34" t="s">
        <v>122</v>
      </c>
      <c r="B34" s="2">
        <v>46155</v>
      </c>
      <c r="C34" t="s">
        <v>35</v>
      </c>
      <c r="D34" t="s">
        <v>118</v>
      </c>
      <c r="E34" t="s">
        <v>119</v>
      </c>
      <c r="F34" t="s">
        <v>20</v>
      </c>
      <c r="G34" s="3">
        <v>6</v>
      </c>
      <c r="H34" s="3">
        <v>5</v>
      </c>
      <c r="I34" s="3">
        <v>5</v>
      </c>
      <c r="J34" s="3">
        <v>4</v>
      </c>
      <c r="K34" s="3">
        <v>5</v>
      </c>
      <c r="L34" t="s">
        <v>83</v>
      </c>
      <c r="M34" s="4">
        <v>66</v>
      </c>
      <c r="N34" t="s">
        <v>31</v>
      </c>
      <c r="O34" t="s">
        <v>76</v>
      </c>
      <c r="P34" s="3">
        <v>4</v>
      </c>
      <c r="Q34" t="s">
        <v>49</v>
      </c>
    </row>
    <row r="35" spans="1:17" x14ac:dyDescent="0.25">
      <c r="A35" t="s">
        <v>123</v>
      </c>
      <c r="B35" s="2">
        <v>46155</v>
      </c>
      <c r="C35" t="s">
        <v>93</v>
      </c>
      <c r="D35" t="s">
        <v>115</v>
      </c>
      <c r="E35" t="s">
        <v>116</v>
      </c>
      <c r="F35" t="s">
        <v>51</v>
      </c>
      <c r="G35" s="3"/>
      <c r="H35" s="3">
        <v>2</v>
      </c>
      <c r="I35" s="3">
        <v>4</v>
      </c>
      <c r="J35" s="3">
        <v>2</v>
      </c>
      <c r="K35" s="3">
        <v>2</v>
      </c>
      <c r="L35" t="s">
        <v>61</v>
      </c>
      <c r="M35" s="4">
        <v>67</v>
      </c>
      <c r="N35" t="s">
        <v>31</v>
      </c>
      <c r="O35" t="s">
        <v>48</v>
      </c>
      <c r="P35" s="3">
        <v>2</v>
      </c>
      <c r="Q35" t="s">
        <v>124</v>
      </c>
    </row>
    <row r="36" spans="1:17" x14ac:dyDescent="0.25">
      <c r="A36" t="s">
        <v>125</v>
      </c>
      <c r="B36" s="2">
        <v>46155</v>
      </c>
      <c r="C36" t="s">
        <v>93</v>
      </c>
      <c r="D36" t="s">
        <v>115</v>
      </c>
      <c r="E36" t="s">
        <v>116</v>
      </c>
      <c r="F36" t="s">
        <v>29</v>
      </c>
      <c r="G36" s="3">
        <v>5</v>
      </c>
      <c r="H36" s="3">
        <v>2</v>
      </c>
      <c r="I36" s="3">
        <v>5</v>
      </c>
      <c r="J36" s="3">
        <v>1</v>
      </c>
      <c r="K36" s="3">
        <v>3</v>
      </c>
      <c r="L36" t="s">
        <v>61</v>
      </c>
      <c r="M36" s="4">
        <v>43</v>
      </c>
      <c r="N36" t="s">
        <v>22</v>
      </c>
      <c r="O36" t="s">
        <v>23</v>
      </c>
      <c r="P36" s="3"/>
      <c r="Q36" t="s">
        <v>126</v>
      </c>
    </row>
    <row r="37" spans="1:17" x14ac:dyDescent="0.25">
      <c r="A37" t="s">
        <v>127</v>
      </c>
      <c r="B37" s="2">
        <v>46161</v>
      </c>
      <c r="C37" t="s">
        <v>64</v>
      </c>
      <c r="D37" t="s">
        <v>128</v>
      </c>
      <c r="E37" t="s">
        <v>129</v>
      </c>
      <c r="F37" t="s">
        <v>20</v>
      </c>
      <c r="G37" s="3">
        <v>1</v>
      </c>
      <c r="H37" s="3">
        <v>4</v>
      </c>
      <c r="I37" s="3">
        <v>1</v>
      </c>
      <c r="J37" s="3">
        <v>5</v>
      </c>
      <c r="K37" s="3">
        <v>2</v>
      </c>
      <c r="L37" t="s">
        <v>130</v>
      </c>
      <c r="M37" s="4">
        <v>64</v>
      </c>
      <c r="N37" t="s">
        <v>31</v>
      </c>
      <c r="O37" t="s">
        <v>52</v>
      </c>
      <c r="P37" s="3">
        <v>5</v>
      </c>
      <c r="Q37" t="s">
        <v>126</v>
      </c>
    </row>
    <row r="38" spans="1:17" x14ac:dyDescent="0.25">
      <c r="A38" t="s">
        <v>131</v>
      </c>
      <c r="B38" s="2">
        <v>46161</v>
      </c>
      <c r="C38" t="s">
        <v>64</v>
      </c>
      <c r="D38" t="s">
        <v>65</v>
      </c>
      <c r="E38" t="s">
        <v>132</v>
      </c>
      <c r="F38" t="s">
        <v>29</v>
      </c>
      <c r="G38" s="3">
        <v>12</v>
      </c>
      <c r="H38" s="3">
        <v>3</v>
      </c>
      <c r="I38" s="3">
        <v>4</v>
      </c>
      <c r="J38" s="3">
        <v>3</v>
      </c>
      <c r="K38" s="3">
        <v>4</v>
      </c>
      <c r="L38" t="s">
        <v>83</v>
      </c>
      <c r="M38" s="4">
        <v>77</v>
      </c>
      <c r="N38" t="s">
        <v>31</v>
      </c>
      <c r="O38" t="s">
        <v>76</v>
      </c>
      <c r="P38" s="3">
        <v>3</v>
      </c>
      <c r="Q38" t="s">
        <v>133</v>
      </c>
    </row>
    <row r="39" spans="1:17" x14ac:dyDescent="0.25">
      <c r="A39" t="s">
        <v>134</v>
      </c>
      <c r="B39" s="2">
        <v>46161</v>
      </c>
      <c r="C39" t="s">
        <v>64</v>
      </c>
      <c r="D39" t="s">
        <v>128</v>
      </c>
      <c r="E39" t="s">
        <v>129</v>
      </c>
      <c r="F39" t="s">
        <v>38</v>
      </c>
      <c r="G39" s="3">
        <v>5</v>
      </c>
      <c r="H39" s="3">
        <v>4</v>
      </c>
      <c r="I39" s="3"/>
      <c r="J39" s="3">
        <v>4</v>
      </c>
      <c r="K39" s="3">
        <v>3</v>
      </c>
      <c r="L39" t="s">
        <v>61</v>
      </c>
      <c r="M39" s="4">
        <v>87</v>
      </c>
      <c r="N39" t="s">
        <v>22</v>
      </c>
      <c r="O39" t="s">
        <v>52</v>
      </c>
      <c r="P39" s="3">
        <v>4</v>
      </c>
      <c r="Q39" t="s">
        <v>62</v>
      </c>
    </row>
    <row r="40" spans="1:17" x14ac:dyDescent="0.25">
      <c r="A40" t="s">
        <v>135</v>
      </c>
      <c r="B40" s="2">
        <v>46161</v>
      </c>
      <c r="C40" t="s">
        <v>18</v>
      </c>
      <c r="D40" t="s">
        <v>136</v>
      </c>
      <c r="E40" t="s">
        <v>137</v>
      </c>
      <c r="F40" t="s">
        <v>20</v>
      </c>
      <c r="G40" s="3">
        <v>5</v>
      </c>
      <c r="H40" s="3">
        <v>3</v>
      </c>
      <c r="I40" s="3">
        <v>2</v>
      </c>
      <c r="J40" s="3">
        <v>3</v>
      </c>
      <c r="K40" s="3">
        <v>2</v>
      </c>
      <c r="L40" t="s">
        <v>83</v>
      </c>
      <c r="M40" s="4">
        <v>51</v>
      </c>
      <c r="N40" t="s">
        <v>31</v>
      </c>
      <c r="O40" t="s">
        <v>76</v>
      </c>
      <c r="P40" s="3">
        <v>3</v>
      </c>
      <c r="Q40" t="s">
        <v>138</v>
      </c>
    </row>
    <row r="41" spans="1:17" x14ac:dyDescent="0.25">
      <c r="A41" t="s">
        <v>139</v>
      </c>
      <c r="B41" s="2">
        <v>46161</v>
      </c>
      <c r="C41" t="s">
        <v>64</v>
      </c>
      <c r="D41" t="s">
        <v>65</v>
      </c>
      <c r="E41" t="s">
        <v>132</v>
      </c>
      <c r="F41" t="s">
        <v>29</v>
      </c>
      <c r="G41" s="3">
        <v>5</v>
      </c>
      <c r="H41" s="3">
        <v>5</v>
      </c>
      <c r="I41" s="3">
        <v>4</v>
      </c>
      <c r="J41" s="3">
        <v>4</v>
      </c>
      <c r="K41" s="3"/>
      <c r="L41" t="s">
        <v>73</v>
      </c>
      <c r="M41" s="4">
        <v>92</v>
      </c>
      <c r="N41" t="s">
        <v>22</v>
      </c>
      <c r="O41" t="s">
        <v>86</v>
      </c>
      <c r="P41" s="3">
        <v>4</v>
      </c>
      <c r="Q41" t="s">
        <v>140</v>
      </c>
    </row>
    <row r="42" spans="1:17" x14ac:dyDescent="0.25">
      <c r="A42" t="s">
        <v>141</v>
      </c>
      <c r="B42" s="2">
        <v>46161</v>
      </c>
      <c r="C42" t="s">
        <v>64</v>
      </c>
      <c r="D42" t="s">
        <v>65</v>
      </c>
      <c r="F42" t="s">
        <v>51</v>
      </c>
      <c r="G42" s="3">
        <v>6</v>
      </c>
      <c r="H42" s="3">
        <v>3</v>
      </c>
      <c r="I42" s="3">
        <v>3</v>
      </c>
      <c r="J42" s="3">
        <v>2</v>
      </c>
      <c r="K42" s="3">
        <v>3</v>
      </c>
      <c r="L42" t="s">
        <v>47</v>
      </c>
      <c r="M42" s="4">
        <v>78</v>
      </c>
      <c r="N42" t="s">
        <v>31</v>
      </c>
      <c r="O42" t="s">
        <v>48</v>
      </c>
      <c r="P42" s="3">
        <v>4</v>
      </c>
      <c r="Q42" t="s">
        <v>142</v>
      </c>
    </row>
    <row r="43" spans="1:17" x14ac:dyDescent="0.25">
      <c r="A43" t="s">
        <v>143</v>
      </c>
      <c r="B43" s="2">
        <v>46161</v>
      </c>
      <c r="C43" t="s">
        <v>64</v>
      </c>
      <c r="D43" t="s">
        <v>128</v>
      </c>
      <c r="E43" t="s">
        <v>129</v>
      </c>
      <c r="F43" t="s">
        <v>29</v>
      </c>
      <c r="G43" s="3">
        <v>7</v>
      </c>
      <c r="H43" s="3">
        <v>2</v>
      </c>
      <c r="I43" s="3">
        <v>3</v>
      </c>
      <c r="J43" s="3">
        <v>5</v>
      </c>
      <c r="K43" s="3">
        <v>4</v>
      </c>
      <c r="L43" t="s">
        <v>73</v>
      </c>
      <c r="M43" s="4">
        <v>83</v>
      </c>
      <c r="N43" t="s">
        <v>22</v>
      </c>
      <c r="O43" t="s">
        <v>86</v>
      </c>
      <c r="P43" s="3">
        <v>5</v>
      </c>
      <c r="Q43" t="s">
        <v>144</v>
      </c>
    </row>
    <row r="44" spans="1:17" x14ac:dyDescent="0.25">
      <c r="A44" t="s">
        <v>145</v>
      </c>
      <c r="B44" s="2">
        <v>46161</v>
      </c>
      <c r="C44" t="s">
        <v>18</v>
      </c>
      <c r="D44" t="s">
        <v>136</v>
      </c>
      <c r="E44" t="s">
        <v>137</v>
      </c>
      <c r="F44" t="s">
        <v>29</v>
      </c>
      <c r="G44" s="3">
        <v>5</v>
      </c>
      <c r="H44" s="3">
        <v>5</v>
      </c>
      <c r="I44" s="3">
        <v>5</v>
      </c>
      <c r="J44" s="3">
        <v>3</v>
      </c>
      <c r="K44" s="3">
        <v>1</v>
      </c>
      <c r="L44" t="s">
        <v>43</v>
      </c>
      <c r="M44" s="4">
        <v>83</v>
      </c>
      <c r="N44" t="s">
        <v>22</v>
      </c>
      <c r="O44" t="s">
        <v>48</v>
      </c>
      <c r="P44" s="3">
        <v>4</v>
      </c>
      <c r="Q44" t="s">
        <v>146</v>
      </c>
    </row>
    <row r="45" spans="1:17" x14ac:dyDescent="0.25">
      <c r="A45" t="s">
        <v>147</v>
      </c>
      <c r="B45" s="2">
        <v>46162</v>
      </c>
      <c r="C45" t="s">
        <v>26</v>
      </c>
      <c r="D45" t="s">
        <v>148</v>
      </c>
      <c r="E45" t="s">
        <v>149</v>
      </c>
      <c r="F45" t="s">
        <v>38</v>
      </c>
      <c r="G45" s="3">
        <v>4</v>
      </c>
      <c r="H45" s="3">
        <v>2</v>
      </c>
      <c r="I45" s="3">
        <v>4</v>
      </c>
      <c r="J45" s="3">
        <v>3</v>
      </c>
      <c r="K45" s="3">
        <v>1</v>
      </c>
      <c r="L45" t="s">
        <v>61</v>
      </c>
      <c r="M45" s="4">
        <v>66</v>
      </c>
      <c r="N45" t="s">
        <v>22</v>
      </c>
      <c r="O45" t="s">
        <v>52</v>
      </c>
      <c r="P45" s="3">
        <v>5</v>
      </c>
    </row>
    <row r="46" spans="1:17" x14ac:dyDescent="0.25">
      <c r="A46" t="s">
        <v>150</v>
      </c>
      <c r="B46" s="2">
        <v>46162</v>
      </c>
      <c r="C46" t="s">
        <v>26</v>
      </c>
      <c r="D46" t="s">
        <v>148</v>
      </c>
      <c r="E46" t="s">
        <v>149</v>
      </c>
      <c r="F46" t="s">
        <v>20</v>
      </c>
      <c r="G46" s="3">
        <v>12</v>
      </c>
      <c r="H46" s="3">
        <v>3</v>
      </c>
      <c r="I46" s="3">
        <v>5</v>
      </c>
      <c r="J46" s="3">
        <v>4</v>
      </c>
      <c r="K46" s="3">
        <v>3</v>
      </c>
      <c r="L46" t="s">
        <v>83</v>
      </c>
      <c r="M46" s="4">
        <v>81</v>
      </c>
      <c r="N46" t="s">
        <v>31</v>
      </c>
      <c r="O46" t="s">
        <v>44</v>
      </c>
      <c r="P46" s="3">
        <v>5</v>
      </c>
      <c r="Q46" t="s">
        <v>133</v>
      </c>
    </row>
    <row r="47" spans="1:17" x14ac:dyDescent="0.25">
      <c r="A47" t="s">
        <v>151</v>
      </c>
      <c r="B47" s="2">
        <v>46162</v>
      </c>
      <c r="C47" t="s">
        <v>26</v>
      </c>
      <c r="D47" t="s">
        <v>148</v>
      </c>
      <c r="E47" t="s">
        <v>149</v>
      </c>
      <c r="F47" t="s">
        <v>60</v>
      </c>
      <c r="G47" s="3">
        <v>6</v>
      </c>
      <c r="H47" s="3">
        <v>4</v>
      </c>
      <c r="I47" s="3">
        <v>5</v>
      </c>
      <c r="J47" s="3">
        <v>3</v>
      </c>
      <c r="K47" s="3">
        <v>3</v>
      </c>
      <c r="L47" t="s">
        <v>83</v>
      </c>
      <c r="M47" s="4">
        <v>75</v>
      </c>
      <c r="N47" t="s">
        <v>22</v>
      </c>
      <c r="O47" t="s">
        <v>48</v>
      </c>
      <c r="P47" s="3">
        <v>4</v>
      </c>
      <c r="Q47" t="s">
        <v>49</v>
      </c>
    </row>
    <row r="48" spans="1:17" x14ac:dyDescent="0.25">
      <c r="A48" t="s">
        <v>152</v>
      </c>
      <c r="B48" s="2">
        <v>46162</v>
      </c>
      <c r="C48" t="s">
        <v>64</v>
      </c>
      <c r="D48" t="s">
        <v>153</v>
      </c>
      <c r="E48" t="s">
        <v>154</v>
      </c>
      <c r="F48" t="s">
        <v>82</v>
      </c>
      <c r="G48" s="3">
        <v>2</v>
      </c>
      <c r="H48" s="3">
        <v>4</v>
      </c>
      <c r="I48" s="3">
        <v>5</v>
      </c>
      <c r="J48" s="3">
        <v>3</v>
      </c>
      <c r="K48" s="3"/>
      <c r="L48" t="s">
        <v>21</v>
      </c>
      <c r="M48" s="4">
        <v>31</v>
      </c>
      <c r="N48" t="s">
        <v>22</v>
      </c>
      <c r="O48" t="s">
        <v>52</v>
      </c>
      <c r="P48" s="3">
        <v>5</v>
      </c>
      <c r="Q48" t="s">
        <v>24</v>
      </c>
    </row>
    <row r="49" spans="1:17" x14ac:dyDescent="0.25">
      <c r="A49" t="s">
        <v>155</v>
      </c>
      <c r="B49" s="2">
        <v>46162</v>
      </c>
      <c r="C49" t="s">
        <v>26</v>
      </c>
      <c r="D49" t="s">
        <v>148</v>
      </c>
      <c r="E49" t="s">
        <v>149</v>
      </c>
      <c r="F49" t="s">
        <v>29</v>
      </c>
      <c r="G49" s="3">
        <v>5</v>
      </c>
      <c r="H49" s="3">
        <v>4</v>
      </c>
      <c r="I49" s="3">
        <v>5</v>
      </c>
      <c r="J49" s="3"/>
      <c r="K49" s="3">
        <v>3</v>
      </c>
      <c r="L49" t="s">
        <v>21</v>
      </c>
      <c r="M49" s="4">
        <v>86</v>
      </c>
      <c r="N49" t="s">
        <v>31</v>
      </c>
      <c r="O49" t="s">
        <v>76</v>
      </c>
      <c r="P49" s="3">
        <v>3</v>
      </c>
      <c r="Q49" t="s">
        <v>24</v>
      </c>
    </row>
    <row r="50" spans="1:17" x14ac:dyDescent="0.25">
      <c r="A50" t="s">
        <v>156</v>
      </c>
      <c r="B50" s="2">
        <v>46168</v>
      </c>
      <c r="C50" t="s">
        <v>93</v>
      </c>
      <c r="D50" t="s">
        <v>93</v>
      </c>
      <c r="E50" t="s">
        <v>157</v>
      </c>
      <c r="F50" t="s">
        <v>38</v>
      </c>
      <c r="G50" s="3">
        <v>5</v>
      </c>
      <c r="H50" s="3">
        <v>3</v>
      </c>
      <c r="I50" s="3">
        <v>4</v>
      </c>
      <c r="J50" s="3">
        <v>4</v>
      </c>
      <c r="K50" s="3">
        <v>2</v>
      </c>
      <c r="L50" t="s">
        <v>61</v>
      </c>
      <c r="M50" s="4">
        <v>48</v>
      </c>
      <c r="N50" t="s">
        <v>22</v>
      </c>
      <c r="O50" t="s">
        <v>48</v>
      </c>
      <c r="P50" s="3">
        <v>5</v>
      </c>
      <c r="Q50" t="s">
        <v>158</v>
      </c>
    </row>
    <row r="51" spans="1:17" x14ac:dyDescent="0.25">
      <c r="A51" t="s">
        <v>159</v>
      </c>
      <c r="B51" s="2">
        <v>46169</v>
      </c>
      <c r="C51" t="s">
        <v>26</v>
      </c>
      <c r="D51" t="s">
        <v>160</v>
      </c>
      <c r="E51" t="s">
        <v>161</v>
      </c>
      <c r="F51" t="s">
        <v>51</v>
      </c>
      <c r="G51" s="3">
        <v>1</v>
      </c>
      <c r="H51" s="3">
        <v>2</v>
      </c>
      <c r="I51" s="3">
        <v>4</v>
      </c>
      <c r="J51" s="3">
        <v>3</v>
      </c>
      <c r="K51" s="3">
        <v>3</v>
      </c>
      <c r="L51" t="s">
        <v>47</v>
      </c>
      <c r="M51" s="4">
        <v>71</v>
      </c>
      <c r="N51" t="s">
        <v>22</v>
      </c>
      <c r="O51" t="s">
        <v>76</v>
      </c>
      <c r="P51" s="3">
        <v>4</v>
      </c>
    </row>
    <row r="52" spans="1:17" x14ac:dyDescent="0.25">
      <c r="G52" t="s">
        <v>163</v>
      </c>
      <c r="H52" s="3">
        <f>AVERAGE(Staff_Raw_Table[Staffing_Adequacy_1_to_5])</f>
        <v>3.26</v>
      </c>
      <c r="I52" s="3">
        <f>AVERAGE(Staff_Raw_Table[Supplies_Adequacy_1_to_5])</f>
        <v>3.7708333333333335</v>
      </c>
      <c r="J52" s="3">
        <f>AVERAGE(Staff_Raw_Table[Community_Mobilization_1_to_5])</f>
        <v>3.5510204081632653</v>
      </c>
      <c r="K52" s="3">
        <f>AVERAGE(Staff_Raw_Table[Data_Collection_Difficulty_1_to_5])</f>
        <v>3.0869565217391304</v>
      </c>
      <c r="L52" s="3"/>
      <c r="M52" s="3">
        <f>AVERAGE(Staff_Raw_Table[Average_Daily_Beneficiaries])</f>
        <v>88.65306122448979</v>
      </c>
      <c r="N52" s="3"/>
      <c r="O52" s="3"/>
      <c r="P52" s="3">
        <f>AVERAGE(Staff_Raw_Table[Confidence_in_Data_Completeness_1_to_5])</f>
        <v>3.9166666666666665</v>
      </c>
    </row>
    <row r="53" spans="1:17" x14ac:dyDescent="0.25">
      <c r="G53" t="s">
        <v>164</v>
      </c>
      <c r="H53">
        <f>MEDIAN(Staff_Raw_Table[[#Data],[#Totals],[Staffing_Adequacy_1_to_5]])</f>
        <v>3</v>
      </c>
      <c r="I53" s="3">
        <f>MEDIAN(I2:I51)</f>
        <v>4</v>
      </c>
      <c r="J53">
        <f>MEDIAN(Staff_Raw_Table[[#Data],[#Totals],[Community_Mobilization_1_to_5]])</f>
        <v>4</v>
      </c>
      <c r="K53">
        <f>MEDIAN(Staff_Raw_Table[[#Data],[#Totals],[Data_Collection_Difficulty_1_to_5]])</f>
        <v>3</v>
      </c>
      <c r="M53" s="3">
        <f>MEDIAN(M2:M51)</f>
        <v>83</v>
      </c>
      <c r="P53">
        <f>MEDIAN(Staff_Raw_Table[[#Data],[#Totals],[Confidence_in_Data_Completeness_1_to_5]])</f>
        <v>4</v>
      </c>
    </row>
  </sheetData>
  <pageMargins left="0.75" right="0.75" top="1" bottom="1" header="0.5" footer="0.5"/>
  <pageSetup paperSize="9" orientation="portrait" horizontalDpi="200" verticalDpi="20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19F3-98B9-4E28-A6C5-66C48F48236A}">
  <dimension ref="A3:E139"/>
  <sheetViews>
    <sheetView tabSelected="1" workbookViewId="0">
      <selection activeCell="A103" sqref="A103:C139"/>
    </sheetView>
  </sheetViews>
  <sheetFormatPr defaultRowHeight="15" x14ac:dyDescent="0.25"/>
  <cols>
    <col min="1" max="1" width="11.28515625" bestFit="1" customWidth="1"/>
    <col min="2" max="2" width="41.42578125" bestFit="1" customWidth="1"/>
    <col min="3" max="3" width="16.140625" bestFit="1" customWidth="1"/>
    <col min="4" max="4" width="42.140625" bestFit="1" customWidth="1"/>
    <col min="5" max="5" width="50.85546875" bestFit="1" customWidth="1"/>
  </cols>
  <sheetData>
    <row r="3" spans="1:3" x14ac:dyDescent="0.25">
      <c r="A3" s="5" t="s">
        <v>168</v>
      </c>
      <c r="B3" t="s">
        <v>166</v>
      </c>
      <c r="C3" t="s">
        <v>167</v>
      </c>
    </row>
    <row r="4" spans="1:3" x14ac:dyDescent="0.25">
      <c r="A4" s="6">
        <v>1</v>
      </c>
      <c r="B4">
        <v>2</v>
      </c>
      <c r="C4" s="7">
        <v>0.04</v>
      </c>
    </row>
    <row r="5" spans="1:3" x14ac:dyDescent="0.25">
      <c r="A5" s="6">
        <v>2</v>
      </c>
      <c r="B5">
        <v>12</v>
      </c>
      <c r="C5" s="7">
        <v>0.24</v>
      </c>
    </row>
    <row r="6" spans="1:3" x14ac:dyDescent="0.25">
      <c r="A6" s="6">
        <v>3</v>
      </c>
      <c r="B6">
        <v>14</v>
      </c>
      <c r="C6" s="7">
        <v>0.28000000000000003</v>
      </c>
    </row>
    <row r="7" spans="1:3" x14ac:dyDescent="0.25">
      <c r="A7" s="6">
        <v>4</v>
      </c>
      <c r="B7">
        <v>15</v>
      </c>
      <c r="C7" s="7">
        <v>0.3</v>
      </c>
    </row>
    <row r="8" spans="1:3" x14ac:dyDescent="0.25">
      <c r="A8" s="6">
        <v>5</v>
      </c>
      <c r="B8">
        <v>7</v>
      </c>
      <c r="C8" s="7">
        <v>0.14000000000000001</v>
      </c>
    </row>
    <row r="9" spans="1:3" x14ac:dyDescent="0.25">
      <c r="A9" s="6" t="s">
        <v>165</v>
      </c>
      <c r="B9">
        <v>50</v>
      </c>
      <c r="C9" s="7">
        <v>1</v>
      </c>
    </row>
    <row r="12" spans="1:3" x14ac:dyDescent="0.25">
      <c r="A12" s="5" t="s">
        <v>170</v>
      </c>
      <c r="B12" t="s">
        <v>166</v>
      </c>
      <c r="C12" t="s">
        <v>167</v>
      </c>
    </row>
    <row r="13" spans="1:3" x14ac:dyDescent="0.25">
      <c r="A13" s="8">
        <v>1</v>
      </c>
      <c r="B13">
        <v>2</v>
      </c>
      <c r="C13" s="7">
        <v>0.04</v>
      </c>
    </row>
    <row r="14" spans="1:3" x14ac:dyDescent="0.25">
      <c r="A14" s="8">
        <v>2</v>
      </c>
      <c r="B14">
        <v>2</v>
      </c>
      <c r="C14" s="7">
        <v>0.04</v>
      </c>
    </row>
    <row r="15" spans="1:3" x14ac:dyDescent="0.25">
      <c r="A15" s="8">
        <v>3</v>
      </c>
      <c r="B15">
        <v>13</v>
      </c>
      <c r="C15" s="7">
        <v>0.26</v>
      </c>
    </row>
    <row r="16" spans="1:3" x14ac:dyDescent="0.25">
      <c r="A16" s="8">
        <v>4</v>
      </c>
      <c r="B16">
        <v>19</v>
      </c>
      <c r="C16" s="7">
        <v>0.38</v>
      </c>
    </row>
    <row r="17" spans="1:3" x14ac:dyDescent="0.25">
      <c r="A17" s="8">
        <v>5</v>
      </c>
      <c r="B17">
        <v>12</v>
      </c>
      <c r="C17" s="7">
        <v>0.24</v>
      </c>
    </row>
    <row r="18" spans="1:3" x14ac:dyDescent="0.25">
      <c r="A18" s="8" t="s">
        <v>169</v>
      </c>
      <c r="B18">
        <v>2</v>
      </c>
      <c r="C18" s="7">
        <v>0.04</v>
      </c>
    </row>
    <row r="19" spans="1:3" x14ac:dyDescent="0.25">
      <c r="A19" s="8" t="s">
        <v>165</v>
      </c>
      <c r="B19">
        <v>50</v>
      </c>
      <c r="C19" s="7">
        <v>1</v>
      </c>
    </row>
    <row r="21" spans="1:3" x14ac:dyDescent="0.25">
      <c r="A21" s="5" t="s">
        <v>171</v>
      </c>
      <c r="B21" t="s">
        <v>166</v>
      </c>
      <c r="C21" t="s">
        <v>167</v>
      </c>
    </row>
    <row r="22" spans="1:3" x14ac:dyDescent="0.25">
      <c r="A22" s="8">
        <v>1</v>
      </c>
      <c r="B22">
        <v>2</v>
      </c>
      <c r="C22" s="7">
        <v>0.04</v>
      </c>
    </row>
    <row r="23" spans="1:3" x14ac:dyDescent="0.25">
      <c r="A23" s="8">
        <v>2</v>
      </c>
      <c r="B23">
        <v>5</v>
      </c>
      <c r="C23" s="7">
        <v>0.1</v>
      </c>
    </row>
    <row r="24" spans="1:3" x14ac:dyDescent="0.25">
      <c r="A24" s="8">
        <v>3</v>
      </c>
      <c r="B24">
        <v>15</v>
      </c>
      <c r="C24" s="7">
        <v>0.3</v>
      </c>
    </row>
    <row r="25" spans="1:3" x14ac:dyDescent="0.25">
      <c r="A25" s="8">
        <v>4</v>
      </c>
      <c r="B25">
        <v>18</v>
      </c>
      <c r="C25" s="7">
        <v>0.36</v>
      </c>
    </row>
    <row r="26" spans="1:3" x14ac:dyDescent="0.25">
      <c r="A26" s="8">
        <v>5</v>
      </c>
      <c r="B26">
        <v>9</v>
      </c>
      <c r="C26" s="7">
        <v>0.18</v>
      </c>
    </row>
    <row r="27" spans="1:3" x14ac:dyDescent="0.25">
      <c r="A27" s="8" t="s">
        <v>169</v>
      </c>
      <c r="B27">
        <v>1</v>
      </c>
      <c r="C27" s="7">
        <v>0.02</v>
      </c>
    </row>
    <row r="28" spans="1:3" x14ac:dyDescent="0.25">
      <c r="A28" s="8" t="s">
        <v>165</v>
      </c>
      <c r="B28">
        <v>50</v>
      </c>
      <c r="C28" s="7">
        <v>1</v>
      </c>
    </row>
    <row r="30" spans="1:3" x14ac:dyDescent="0.25">
      <c r="A30" s="5" t="s">
        <v>172</v>
      </c>
      <c r="B30" t="s">
        <v>166</v>
      </c>
      <c r="C30" t="s">
        <v>167</v>
      </c>
    </row>
    <row r="31" spans="1:3" x14ac:dyDescent="0.25">
      <c r="A31" s="8">
        <v>1</v>
      </c>
      <c r="B31">
        <v>3</v>
      </c>
      <c r="C31" s="7">
        <v>0.06</v>
      </c>
    </row>
    <row r="32" spans="1:3" x14ac:dyDescent="0.25">
      <c r="A32" s="8">
        <v>2</v>
      </c>
      <c r="B32">
        <v>8</v>
      </c>
      <c r="C32" s="7">
        <v>0.16</v>
      </c>
    </row>
    <row r="33" spans="1:3" x14ac:dyDescent="0.25">
      <c r="A33" s="8">
        <v>3</v>
      </c>
      <c r="B33">
        <v>20</v>
      </c>
      <c r="C33" s="7">
        <v>0.4</v>
      </c>
    </row>
    <row r="34" spans="1:3" x14ac:dyDescent="0.25">
      <c r="A34" s="8">
        <v>4</v>
      </c>
      <c r="B34">
        <v>12</v>
      </c>
      <c r="C34" s="7">
        <v>0.24</v>
      </c>
    </row>
    <row r="35" spans="1:3" x14ac:dyDescent="0.25">
      <c r="A35" s="8">
        <v>5</v>
      </c>
      <c r="B35">
        <v>3</v>
      </c>
      <c r="C35" s="7">
        <v>0.06</v>
      </c>
    </row>
    <row r="36" spans="1:3" x14ac:dyDescent="0.25">
      <c r="A36" s="8" t="s">
        <v>169</v>
      </c>
      <c r="B36">
        <v>4</v>
      </c>
      <c r="C36" s="7">
        <v>0.08</v>
      </c>
    </row>
    <row r="37" spans="1:3" x14ac:dyDescent="0.25">
      <c r="A37" s="8" t="s">
        <v>165</v>
      </c>
      <c r="B37">
        <v>50</v>
      </c>
      <c r="C37" s="7">
        <v>1</v>
      </c>
    </row>
    <row r="40" spans="1:3" x14ac:dyDescent="0.25">
      <c r="A40" s="5" t="s">
        <v>173</v>
      </c>
      <c r="B40" t="s">
        <v>166</v>
      </c>
      <c r="C40" t="s">
        <v>167</v>
      </c>
    </row>
    <row r="41" spans="1:3" x14ac:dyDescent="0.25">
      <c r="A41" s="8" t="s">
        <v>21</v>
      </c>
      <c r="B41">
        <v>7</v>
      </c>
      <c r="C41" s="7">
        <v>0.14000000000000001</v>
      </c>
    </row>
    <row r="42" spans="1:3" x14ac:dyDescent="0.25">
      <c r="A42" s="8" t="s">
        <v>73</v>
      </c>
      <c r="B42">
        <v>6</v>
      </c>
      <c r="C42" s="7">
        <v>0.12</v>
      </c>
    </row>
    <row r="43" spans="1:3" x14ac:dyDescent="0.25">
      <c r="A43" s="8" t="s">
        <v>30</v>
      </c>
      <c r="B43">
        <v>4</v>
      </c>
      <c r="C43" s="7">
        <v>0.08</v>
      </c>
    </row>
    <row r="44" spans="1:3" x14ac:dyDescent="0.25">
      <c r="A44" s="8" t="s">
        <v>43</v>
      </c>
      <c r="B44">
        <v>8</v>
      </c>
      <c r="C44" s="7">
        <v>0.16</v>
      </c>
    </row>
    <row r="45" spans="1:3" x14ac:dyDescent="0.25">
      <c r="A45" s="8" t="s">
        <v>39</v>
      </c>
      <c r="B45">
        <v>5</v>
      </c>
      <c r="C45" s="7">
        <v>0.1</v>
      </c>
    </row>
    <row r="46" spans="1:3" x14ac:dyDescent="0.25">
      <c r="A46" s="8" t="s">
        <v>67</v>
      </c>
      <c r="B46">
        <v>11</v>
      </c>
      <c r="C46" s="7">
        <v>0.22</v>
      </c>
    </row>
    <row r="47" spans="1:3" x14ac:dyDescent="0.25">
      <c r="A47" s="8" t="s">
        <v>61</v>
      </c>
      <c r="B47">
        <v>9</v>
      </c>
      <c r="C47" s="7">
        <v>0.18</v>
      </c>
    </row>
    <row r="48" spans="1:3" x14ac:dyDescent="0.25">
      <c r="A48" s="8" t="s">
        <v>165</v>
      </c>
      <c r="B48">
        <v>50</v>
      </c>
      <c r="C48" s="7">
        <v>1</v>
      </c>
    </row>
    <row r="50" spans="1:5" x14ac:dyDescent="0.25">
      <c r="A50" s="5" t="s">
        <v>2</v>
      </c>
      <c r="B50" t="s">
        <v>162</v>
      </c>
      <c r="C50" t="s">
        <v>174</v>
      </c>
      <c r="D50" t="s">
        <v>175</v>
      </c>
      <c r="E50" t="s">
        <v>178</v>
      </c>
    </row>
    <row r="51" spans="1:5" x14ac:dyDescent="0.25">
      <c r="A51" s="8" t="s">
        <v>35</v>
      </c>
      <c r="B51" s="3">
        <v>2.7</v>
      </c>
      <c r="C51" s="3">
        <v>3.8</v>
      </c>
      <c r="D51" s="3">
        <v>3.25</v>
      </c>
      <c r="E51" s="3">
        <v>3.4</v>
      </c>
    </row>
    <row r="52" spans="1:5" x14ac:dyDescent="0.25">
      <c r="A52" s="9" t="s">
        <v>70</v>
      </c>
      <c r="B52" s="3">
        <v>1.6</v>
      </c>
      <c r="C52" s="3">
        <v>3.8</v>
      </c>
      <c r="D52" s="3">
        <v>4</v>
      </c>
      <c r="E52" s="3">
        <v>2.8</v>
      </c>
    </row>
    <row r="53" spans="1:5" x14ac:dyDescent="0.25">
      <c r="A53" s="9" t="s">
        <v>36</v>
      </c>
      <c r="B53" s="3">
        <v>4</v>
      </c>
      <c r="C53" s="3">
        <v>2.5</v>
      </c>
      <c r="D53" s="3">
        <v>1.5</v>
      </c>
      <c r="E53" s="3">
        <v>4</v>
      </c>
    </row>
    <row r="54" spans="1:5" x14ac:dyDescent="0.25">
      <c r="A54" s="9" t="s">
        <v>118</v>
      </c>
      <c r="B54" s="3">
        <v>3.6666666666666665</v>
      </c>
      <c r="C54" s="3">
        <v>4.666666666666667</v>
      </c>
      <c r="D54" s="3">
        <v>3.6666666666666665</v>
      </c>
      <c r="E54" s="3">
        <v>4</v>
      </c>
    </row>
    <row r="55" spans="1:5" x14ac:dyDescent="0.25">
      <c r="A55" s="8" t="s">
        <v>64</v>
      </c>
      <c r="B55" s="3">
        <v>3.2857142857142856</v>
      </c>
      <c r="C55" s="3">
        <v>3.0769230769230771</v>
      </c>
      <c r="D55" s="3">
        <v>3.1666666666666665</v>
      </c>
      <c r="E55" s="3">
        <v>4.2857142857142856</v>
      </c>
    </row>
    <row r="56" spans="1:5" x14ac:dyDescent="0.25">
      <c r="A56" s="9" t="s">
        <v>110</v>
      </c>
      <c r="B56" s="3">
        <v>3</v>
      </c>
      <c r="C56" s="3">
        <v>3</v>
      </c>
      <c r="D56" s="3">
        <v>3.5</v>
      </c>
      <c r="E56" s="3">
        <v>4</v>
      </c>
    </row>
    <row r="57" spans="1:5" x14ac:dyDescent="0.25">
      <c r="A57" s="9" t="s">
        <v>128</v>
      </c>
      <c r="B57" s="3">
        <v>3.3333333333333335</v>
      </c>
      <c r="C57" s="3">
        <v>2</v>
      </c>
      <c r="D57" s="3">
        <v>3</v>
      </c>
      <c r="E57" s="3">
        <v>4.666666666666667</v>
      </c>
    </row>
    <row r="58" spans="1:5" x14ac:dyDescent="0.25">
      <c r="A58" s="9" t="s">
        <v>153</v>
      </c>
      <c r="B58" s="3">
        <v>4</v>
      </c>
      <c r="C58" s="3">
        <v>5</v>
      </c>
      <c r="E58" s="3">
        <v>5</v>
      </c>
    </row>
    <row r="59" spans="1:5" x14ac:dyDescent="0.25">
      <c r="A59" s="9" t="s">
        <v>65</v>
      </c>
      <c r="B59" s="3">
        <v>3.25</v>
      </c>
      <c r="C59" s="3">
        <v>3.125</v>
      </c>
      <c r="D59" s="3">
        <v>3.1428571428571428</v>
      </c>
      <c r="E59" s="3">
        <v>4.125</v>
      </c>
    </row>
    <row r="60" spans="1:5" x14ac:dyDescent="0.25">
      <c r="A60" s="8" t="s">
        <v>93</v>
      </c>
      <c r="B60" s="3">
        <v>3.2</v>
      </c>
      <c r="C60" s="3">
        <v>4.0999999999999996</v>
      </c>
      <c r="D60" s="3">
        <v>3.3</v>
      </c>
      <c r="E60" s="3">
        <v>4</v>
      </c>
    </row>
    <row r="61" spans="1:5" x14ac:dyDescent="0.25">
      <c r="A61" s="9" t="s">
        <v>104</v>
      </c>
      <c r="B61" s="3">
        <v>4</v>
      </c>
      <c r="C61" s="3">
        <v>4</v>
      </c>
      <c r="D61" s="3">
        <v>4</v>
      </c>
      <c r="E61" s="3">
        <v>3.5</v>
      </c>
    </row>
    <row r="62" spans="1:5" x14ac:dyDescent="0.25">
      <c r="A62" s="9" t="s">
        <v>115</v>
      </c>
      <c r="B62" s="3">
        <v>2.6666666666666665</v>
      </c>
      <c r="C62" s="3">
        <v>4</v>
      </c>
      <c r="D62" s="3">
        <v>3</v>
      </c>
      <c r="E62" s="3">
        <v>3.5</v>
      </c>
    </row>
    <row r="63" spans="1:5" x14ac:dyDescent="0.25">
      <c r="A63" s="9" t="s">
        <v>94</v>
      </c>
      <c r="B63" s="3">
        <v>3.25</v>
      </c>
      <c r="C63" s="3">
        <v>4.25</v>
      </c>
      <c r="D63" s="3">
        <v>3.5</v>
      </c>
      <c r="E63" s="3">
        <v>4.333333333333333</v>
      </c>
    </row>
    <row r="64" spans="1:5" x14ac:dyDescent="0.25">
      <c r="A64" s="9" t="s">
        <v>93</v>
      </c>
      <c r="B64" s="3">
        <v>3</v>
      </c>
      <c r="C64" s="3">
        <v>4</v>
      </c>
      <c r="D64" s="3">
        <v>2</v>
      </c>
      <c r="E64" s="3">
        <v>5</v>
      </c>
    </row>
    <row r="65" spans="1:5" x14ac:dyDescent="0.25">
      <c r="A65" s="8" t="s">
        <v>26</v>
      </c>
      <c r="B65" s="3">
        <v>3.25</v>
      </c>
      <c r="C65" s="3">
        <v>4.125</v>
      </c>
      <c r="D65" s="3">
        <v>2.75</v>
      </c>
      <c r="E65" s="3">
        <v>4.25</v>
      </c>
    </row>
    <row r="66" spans="1:5" x14ac:dyDescent="0.25">
      <c r="A66" s="9" t="s">
        <v>160</v>
      </c>
      <c r="B66" s="3">
        <v>2</v>
      </c>
      <c r="C66" s="3">
        <v>4</v>
      </c>
      <c r="D66" s="3">
        <v>3</v>
      </c>
      <c r="E66" s="3">
        <v>4</v>
      </c>
    </row>
    <row r="67" spans="1:5" x14ac:dyDescent="0.25">
      <c r="A67" s="9" t="s">
        <v>27</v>
      </c>
      <c r="B67" s="3">
        <v>3.6666666666666665</v>
      </c>
      <c r="C67" s="3">
        <v>3.3333333333333335</v>
      </c>
      <c r="D67" s="3">
        <v>3</v>
      </c>
      <c r="E67" s="3">
        <v>4.333333333333333</v>
      </c>
    </row>
    <row r="68" spans="1:5" x14ac:dyDescent="0.25">
      <c r="A68" s="9" t="s">
        <v>148</v>
      </c>
      <c r="B68" s="3">
        <v>3.25</v>
      </c>
      <c r="C68" s="3">
        <v>4.75</v>
      </c>
      <c r="D68" s="3">
        <v>2.5</v>
      </c>
      <c r="E68" s="3">
        <v>4.25</v>
      </c>
    </row>
    <row r="69" spans="1:5" x14ac:dyDescent="0.25">
      <c r="A69" s="8" t="s">
        <v>18</v>
      </c>
      <c r="B69" s="3">
        <v>4</v>
      </c>
      <c r="C69" s="3">
        <v>4.1428571428571432</v>
      </c>
      <c r="D69" s="3">
        <v>2.875</v>
      </c>
      <c r="E69" s="3">
        <v>3.5</v>
      </c>
    </row>
    <row r="70" spans="1:5" x14ac:dyDescent="0.25">
      <c r="A70" s="9" t="s">
        <v>136</v>
      </c>
      <c r="B70" s="3">
        <v>4</v>
      </c>
      <c r="C70" s="3">
        <v>3.5</v>
      </c>
      <c r="D70" s="3">
        <v>1.5</v>
      </c>
      <c r="E70" s="3">
        <v>3.5</v>
      </c>
    </row>
    <row r="71" spans="1:5" x14ac:dyDescent="0.25">
      <c r="A71" s="9" t="s">
        <v>19</v>
      </c>
      <c r="B71" s="3">
        <v>3.75</v>
      </c>
      <c r="C71" s="3">
        <v>4.25</v>
      </c>
      <c r="D71" s="3">
        <v>3.5</v>
      </c>
      <c r="E71" s="3">
        <v>3.5</v>
      </c>
    </row>
    <row r="72" spans="1:5" x14ac:dyDescent="0.25">
      <c r="A72" s="9" t="s">
        <v>101</v>
      </c>
      <c r="B72" s="3">
        <v>4.5</v>
      </c>
      <c r="C72" s="3">
        <v>5</v>
      </c>
      <c r="D72" s="3">
        <v>3</v>
      </c>
      <c r="E72" s="3">
        <v>3.5</v>
      </c>
    </row>
    <row r="73" spans="1:5" x14ac:dyDescent="0.25">
      <c r="A73" s="8" t="s">
        <v>165</v>
      </c>
      <c r="B73" s="3">
        <v>3.26</v>
      </c>
      <c r="C73" s="3">
        <v>3.7708333333333335</v>
      </c>
      <c r="D73" s="3">
        <v>3.0869565217391304</v>
      </c>
      <c r="E73" s="3">
        <v>3.9166666666666665</v>
      </c>
    </row>
    <row r="75" spans="1:5" x14ac:dyDescent="0.25">
      <c r="A75" s="5" t="s">
        <v>176</v>
      </c>
      <c r="B75" t="s">
        <v>166</v>
      </c>
      <c r="C75" t="s">
        <v>167</v>
      </c>
    </row>
    <row r="76" spans="1:5" x14ac:dyDescent="0.25">
      <c r="A76" s="8" t="s">
        <v>32</v>
      </c>
      <c r="B76">
        <v>2</v>
      </c>
      <c r="C76" s="7">
        <v>0.04</v>
      </c>
    </row>
    <row r="77" spans="1:5" x14ac:dyDescent="0.25">
      <c r="A77" s="8" t="s">
        <v>52</v>
      </c>
      <c r="B77">
        <v>9</v>
      </c>
      <c r="C77" s="7">
        <v>0.18</v>
      </c>
    </row>
    <row r="78" spans="1:5" x14ac:dyDescent="0.25">
      <c r="A78" s="8" t="s">
        <v>48</v>
      </c>
      <c r="B78">
        <v>7</v>
      </c>
      <c r="C78" s="7">
        <v>0.14000000000000001</v>
      </c>
    </row>
    <row r="79" spans="1:5" x14ac:dyDescent="0.25">
      <c r="A79" s="8" t="s">
        <v>44</v>
      </c>
      <c r="B79">
        <v>6</v>
      </c>
      <c r="C79" s="7">
        <v>0.12</v>
      </c>
    </row>
    <row r="80" spans="1:5" x14ac:dyDescent="0.25">
      <c r="A80" s="8" t="s">
        <v>86</v>
      </c>
      <c r="B80">
        <v>7</v>
      </c>
      <c r="C80" s="7">
        <v>0.14000000000000001</v>
      </c>
    </row>
    <row r="81" spans="1:3" x14ac:dyDescent="0.25">
      <c r="A81" s="8" t="s">
        <v>89</v>
      </c>
      <c r="B81">
        <v>1</v>
      </c>
      <c r="C81" s="7">
        <v>0.02</v>
      </c>
    </row>
    <row r="82" spans="1:3" x14ac:dyDescent="0.25">
      <c r="A82" s="8" t="s">
        <v>23</v>
      </c>
      <c r="B82">
        <v>9</v>
      </c>
      <c r="C82" s="7">
        <v>0.18</v>
      </c>
    </row>
    <row r="83" spans="1:3" x14ac:dyDescent="0.25">
      <c r="A83" s="8" t="s">
        <v>76</v>
      </c>
      <c r="B83">
        <v>8</v>
      </c>
      <c r="C83" s="7">
        <v>0.16</v>
      </c>
    </row>
    <row r="84" spans="1:3" x14ac:dyDescent="0.25">
      <c r="A84" s="8" t="s">
        <v>169</v>
      </c>
      <c r="B84">
        <v>1</v>
      </c>
      <c r="C84" s="7">
        <v>0.02</v>
      </c>
    </row>
    <row r="85" spans="1:3" x14ac:dyDescent="0.25">
      <c r="A85" s="8" t="s">
        <v>165</v>
      </c>
      <c r="B85">
        <v>50</v>
      </c>
      <c r="C85" s="7">
        <v>1</v>
      </c>
    </row>
    <row r="87" spans="1:3" x14ac:dyDescent="0.25">
      <c r="A87" s="5" t="s">
        <v>177</v>
      </c>
      <c r="B87" t="s">
        <v>166</v>
      </c>
      <c r="C87" t="s">
        <v>167</v>
      </c>
    </row>
    <row r="88" spans="1:3" x14ac:dyDescent="0.25">
      <c r="A88" s="8">
        <v>2</v>
      </c>
      <c r="B88">
        <v>3</v>
      </c>
      <c r="C88" s="7">
        <v>0.06</v>
      </c>
    </row>
    <row r="89" spans="1:3" x14ac:dyDescent="0.25">
      <c r="A89" s="8">
        <v>3</v>
      </c>
      <c r="B89">
        <v>11</v>
      </c>
      <c r="C89" s="7">
        <v>0.22</v>
      </c>
    </row>
    <row r="90" spans="1:3" x14ac:dyDescent="0.25">
      <c r="A90" s="8">
        <v>4</v>
      </c>
      <c r="B90">
        <v>21</v>
      </c>
      <c r="C90" s="7">
        <v>0.42</v>
      </c>
    </row>
    <row r="91" spans="1:3" x14ac:dyDescent="0.25">
      <c r="A91" s="8">
        <v>5</v>
      </c>
      <c r="B91">
        <v>13</v>
      </c>
      <c r="C91" s="7">
        <v>0.26</v>
      </c>
    </row>
    <row r="92" spans="1:3" x14ac:dyDescent="0.25">
      <c r="A92" s="8" t="s">
        <v>169</v>
      </c>
      <c r="B92">
        <v>2</v>
      </c>
      <c r="C92" s="7">
        <v>0.04</v>
      </c>
    </row>
    <row r="93" spans="1:3" x14ac:dyDescent="0.25">
      <c r="A93" s="8" t="s">
        <v>165</v>
      </c>
      <c r="B93">
        <v>50</v>
      </c>
      <c r="C93" s="7">
        <v>1</v>
      </c>
    </row>
    <row r="95" spans="1:3" x14ac:dyDescent="0.25">
      <c r="A95" s="5" t="s">
        <v>2</v>
      </c>
      <c r="B95" t="s">
        <v>179</v>
      </c>
      <c r="C95" t="s">
        <v>166</v>
      </c>
    </row>
    <row r="96" spans="1:3" x14ac:dyDescent="0.25">
      <c r="A96" s="8" t="s">
        <v>35</v>
      </c>
      <c r="B96">
        <v>3.6</v>
      </c>
      <c r="C96">
        <v>10</v>
      </c>
    </row>
    <row r="97" spans="1:3" x14ac:dyDescent="0.25">
      <c r="A97" s="8" t="s">
        <v>64</v>
      </c>
      <c r="B97">
        <v>4.0714285714285712</v>
      </c>
      <c r="C97">
        <v>14</v>
      </c>
    </row>
    <row r="98" spans="1:3" x14ac:dyDescent="0.25">
      <c r="A98" s="8" t="s">
        <v>93</v>
      </c>
      <c r="B98">
        <v>2.9</v>
      </c>
      <c r="C98">
        <v>10</v>
      </c>
    </row>
    <row r="99" spans="1:3" x14ac:dyDescent="0.25">
      <c r="A99" s="8" t="s">
        <v>26</v>
      </c>
      <c r="B99">
        <v>3.1428571428571428</v>
      </c>
      <c r="C99">
        <v>8</v>
      </c>
    </row>
    <row r="100" spans="1:3" x14ac:dyDescent="0.25">
      <c r="A100" s="8" t="s">
        <v>18</v>
      </c>
      <c r="B100">
        <v>3.75</v>
      </c>
      <c r="C100">
        <v>8</v>
      </c>
    </row>
    <row r="101" spans="1:3" x14ac:dyDescent="0.25">
      <c r="A101" s="8" t="s">
        <v>165</v>
      </c>
      <c r="B101">
        <v>3.5510204081632653</v>
      </c>
      <c r="C101">
        <v>50</v>
      </c>
    </row>
    <row r="103" spans="1:3" x14ac:dyDescent="0.25">
      <c r="A103" s="5" t="s">
        <v>173</v>
      </c>
      <c r="B103" t="s">
        <v>166</v>
      </c>
      <c r="C103" t="s">
        <v>167</v>
      </c>
    </row>
    <row r="104" spans="1:3" x14ac:dyDescent="0.25">
      <c r="A104" s="8" t="s">
        <v>21</v>
      </c>
      <c r="B104">
        <v>7</v>
      </c>
      <c r="C104" s="7">
        <v>0.14000000000000001</v>
      </c>
    </row>
    <row r="105" spans="1:3" x14ac:dyDescent="0.25">
      <c r="A105" s="9" t="s">
        <v>35</v>
      </c>
      <c r="B105">
        <v>2</v>
      </c>
      <c r="C105" s="7">
        <v>0.04</v>
      </c>
    </row>
    <row r="106" spans="1:3" x14ac:dyDescent="0.25">
      <c r="A106" s="9" t="s">
        <v>64</v>
      </c>
      <c r="B106">
        <v>3</v>
      </c>
      <c r="C106" s="7">
        <v>0.06</v>
      </c>
    </row>
    <row r="107" spans="1:3" x14ac:dyDescent="0.25">
      <c r="A107" s="9" t="s">
        <v>26</v>
      </c>
      <c r="B107">
        <v>1</v>
      </c>
      <c r="C107" s="7">
        <v>0.02</v>
      </c>
    </row>
    <row r="108" spans="1:3" x14ac:dyDescent="0.25">
      <c r="A108" s="9" t="s">
        <v>18</v>
      </c>
      <c r="B108">
        <v>1</v>
      </c>
      <c r="C108" s="7">
        <v>0.02</v>
      </c>
    </row>
    <row r="109" spans="1:3" x14ac:dyDescent="0.25">
      <c r="A109" s="8" t="s">
        <v>73</v>
      </c>
      <c r="B109">
        <v>6</v>
      </c>
      <c r="C109" s="7">
        <v>0.12</v>
      </c>
    </row>
    <row r="110" spans="1:3" x14ac:dyDescent="0.25">
      <c r="A110" s="9" t="s">
        <v>35</v>
      </c>
      <c r="B110">
        <v>2</v>
      </c>
      <c r="C110" s="7">
        <v>0.04</v>
      </c>
    </row>
    <row r="111" spans="1:3" x14ac:dyDescent="0.25">
      <c r="A111" s="9" t="s">
        <v>64</v>
      </c>
      <c r="B111">
        <v>3</v>
      </c>
      <c r="C111" s="7">
        <v>0.06</v>
      </c>
    </row>
    <row r="112" spans="1:3" x14ac:dyDescent="0.25">
      <c r="A112" s="9" t="s">
        <v>93</v>
      </c>
      <c r="B112">
        <v>1</v>
      </c>
      <c r="C112" s="7">
        <v>0.02</v>
      </c>
    </row>
    <row r="113" spans="1:3" x14ac:dyDescent="0.25">
      <c r="A113" s="8" t="s">
        <v>30</v>
      </c>
      <c r="B113">
        <v>4</v>
      </c>
      <c r="C113" s="7">
        <v>0.08</v>
      </c>
    </row>
    <row r="114" spans="1:3" x14ac:dyDescent="0.25">
      <c r="A114" s="9" t="s">
        <v>35</v>
      </c>
      <c r="B114">
        <v>1</v>
      </c>
      <c r="C114" s="7">
        <v>0.02</v>
      </c>
    </row>
    <row r="115" spans="1:3" x14ac:dyDescent="0.25">
      <c r="A115" s="9" t="s">
        <v>93</v>
      </c>
      <c r="B115">
        <v>1</v>
      </c>
      <c r="C115" s="7">
        <v>0.02</v>
      </c>
    </row>
    <row r="116" spans="1:3" x14ac:dyDescent="0.25">
      <c r="A116" s="9" t="s">
        <v>26</v>
      </c>
      <c r="B116">
        <v>1</v>
      </c>
      <c r="C116" s="7">
        <v>0.02</v>
      </c>
    </row>
    <row r="117" spans="1:3" x14ac:dyDescent="0.25">
      <c r="A117" s="9" t="s">
        <v>18</v>
      </c>
      <c r="B117">
        <v>1</v>
      </c>
      <c r="C117" s="7">
        <v>0.02</v>
      </c>
    </row>
    <row r="118" spans="1:3" x14ac:dyDescent="0.25">
      <c r="A118" s="8" t="s">
        <v>43</v>
      </c>
      <c r="B118">
        <v>8</v>
      </c>
      <c r="C118" s="7">
        <v>0.16</v>
      </c>
    </row>
    <row r="119" spans="1:3" x14ac:dyDescent="0.25">
      <c r="A119" s="9" t="s">
        <v>35</v>
      </c>
      <c r="B119">
        <v>3</v>
      </c>
      <c r="C119" s="7">
        <v>0.06</v>
      </c>
    </row>
    <row r="120" spans="1:3" x14ac:dyDescent="0.25">
      <c r="A120" s="9" t="s">
        <v>64</v>
      </c>
      <c r="B120">
        <v>1</v>
      </c>
      <c r="C120" s="7">
        <v>0.02</v>
      </c>
    </row>
    <row r="121" spans="1:3" x14ac:dyDescent="0.25">
      <c r="A121" s="9" t="s">
        <v>93</v>
      </c>
      <c r="B121">
        <v>1</v>
      </c>
      <c r="C121" s="7">
        <v>0.02</v>
      </c>
    </row>
    <row r="122" spans="1:3" x14ac:dyDescent="0.25">
      <c r="A122" s="9" t="s">
        <v>18</v>
      </c>
      <c r="B122">
        <v>3</v>
      </c>
      <c r="C122" s="7">
        <v>0.06</v>
      </c>
    </row>
    <row r="123" spans="1:3" x14ac:dyDescent="0.25">
      <c r="A123" s="8" t="s">
        <v>39</v>
      </c>
      <c r="B123">
        <v>5</v>
      </c>
      <c r="C123" s="7">
        <v>0.1</v>
      </c>
    </row>
    <row r="124" spans="1:3" x14ac:dyDescent="0.25">
      <c r="A124" s="9" t="s">
        <v>35</v>
      </c>
      <c r="B124">
        <v>1</v>
      </c>
      <c r="C124" s="7">
        <v>0.02</v>
      </c>
    </row>
    <row r="125" spans="1:3" x14ac:dyDescent="0.25">
      <c r="A125" s="9" t="s">
        <v>64</v>
      </c>
      <c r="B125">
        <v>1</v>
      </c>
      <c r="C125" s="7">
        <v>0.02</v>
      </c>
    </row>
    <row r="126" spans="1:3" x14ac:dyDescent="0.25">
      <c r="A126" s="9" t="s">
        <v>26</v>
      </c>
      <c r="B126">
        <v>2</v>
      </c>
      <c r="C126" s="7">
        <v>0.04</v>
      </c>
    </row>
    <row r="127" spans="1:3" x14ac:dyDescent="0.25">
      <c r="A127" s="9" t="s">
        <v>18</v>
      </c>
      <c r="B127">
        <v>1</v>
      </c>
      <c r="C127" s="7">
        <v>0.02</v>
      </c>
    </row>
    <row r="128" spans="1:3" x14ac:dyDescent="0.25">
      <c r="A128" s="8" t="s">
        <v>67</v>
      </c>
      <c r="B128">
        <v>11</v>
      </c>
      <c r="C128" s="7">
        <v>0.22</v>
      </c>
    </row>
    <row r="129" spans="1:3" x14ac:dyDescent="0.25">
      <c r="A129" s="9" t="s">
        <v>35</v>
      </c>
      <c r="B129">
        <v>1</v>
      </c>
      <c r="C129" s="7">
        <v>0.02</v>
      </c>
    </row>
    <row r="130" spans="1:3" x14ac:dyDescent="0.25">
      <c r="A130" s="9" t="s">
        <v>64</v>
      </c>
      <c r="B130">
        <v>3</v>
      </c>
      <c r="C130" s="7">
        <v>0.06</v>
      </c>
    </row>
    <row r="131" spans="1:3" x14ac:dyDescent="0.25">
      <c r="A131" s="9" t="s">
        <v>93</v>
      </c>
      <c r="B131">
        <v>4</v>
      </c>
      <c r="C131" s="7">
        <v>0.08</v>
      </c>
    </row>
    <row r="132" spans="1:3" x14ac:dyDescent="0.25">
      <c r="A132" s="9" t="s">
        <v>26</v>
      </c>
      <c r="B132">
        <v>2</v>
      </c>
      <c r="C132" s="7">
        <v>0.04</v>
      </c>
    </row>
    <row r="133" spans="1:3" x14ac:dyDescent="0.25">
      <c r="A133" s="9" t="s">
        <v>18</v>
      </c>
      <c r="B133">
        <v>1</v>
      </c>
      <c r="C133" s="7">
        <v>0.02</v>
      </c>
    </row>
    <row r="134" spans="1:3" x14ac:dyDescent="0.25">
      <c r="A134" s="8" t="s">
        <v>61</v>
      </c>
      <c r="B134">
        <v>9</v>
      </c>
      <c r="C134" s="7">
        <v>0.18</v>
      </c>
    </row>
    <row r="135" spans="1:3" x14ac:dyDescent="0.25">
      <c r="A135" s="9" t="s">
        <v>64</v>
      </c>
      <c r="B135">
        <v>3</v>
      </c>
      <c r="C135" s="7">
        <v>0.06</v>
      </c>
    </row>
    <row r="136" spans="1:3" x14ac:dyDescent="0.25">
      <c r="A136" s="9" t="s">
        <v>93</v>
      </c>
      <c r="B136">
        <v>3</v>
      </c>
      <c r="C136" s="7">
        <v>0.06</v>
      </c>
    </row>
    <row r="137" spans="1:3" x14ac:dyDescent="0.25">
      <c r="A137" s="9" t="s">
        <v>26</v>
      </c>
      <c r="B137">
        <v>2</v>
      </c>
      <c r="C137" s="7">
        <v>0.04</v>
      </c>
    </row>
    <row r="138" spans="1:3" x14ac:dyDescent="0.25">
      <c r="A138" s="9" t="s">
        <v>18</v>
      </c>
      <c r="B138">
        <v>1</v>
      </c>
      <c r="C138" s="7">
        <v>0.02</v>
      </c>
    </row>
    <row r="139" spans="1:3" x14ac:dyDescent="0.25">
      <c r="A139" s="8" t="s">
        <v>165</v>
      </c>
      <c r="B139">
        <v>50</v>
      </c>
      <c r="C139" s="7">
        <v>1</v>
      </c>
    </row>
  </sheetData>
  <pageMargins left="0.7" right="0.7" top="0.75" bottom="0.75" header="0.3" footer="0.3"/>
  <pageSetup paperSize="9" orientation="portrait" horizontalDpi="200" verticalDpi="200" copies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Imaledo</cp:lastModifiedBy>
  <dcterms:created xsi:type="dcterms:W3CDTF">2026-10-06T13:10:25Z</dcterms:created>
  <dcterms:modified xsi:type="dcterms:W3CDTF">2026-10-21T15:16:33Z</dcterms:modified>
</cp:coreProperties>
</file>